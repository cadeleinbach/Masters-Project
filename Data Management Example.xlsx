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ee7ec0f8ebb27f/Documents/"/>
    </mc:Choice>
  </mc:AlternateContent>
  <xr:revisionPtr revIDLastSave="66" documentId="8_{2B23D64E-69F8-4DEC-8064-7E3EA20F3808}" xr6:coauthVersionLast="47" xr6:coauthVersionMax="47" xr10:uidLastSave="{D63C48BF-BFDD-48AD-B0DD-CAC100FD87E4}"/>
  <bookViews>
    <workbookView xWindow="-103" yWindow="-103" windowWidth="22149" windowHeight="11829" xr2:uid="{232D9B6A-D6A2-457B-9FE9-AE30645E6F9B}"/>
  </bookViews>
  <sheets>
    <sheet name="ABRs" sheetId="1" r:id="rId1"/>
    <sheet name="Noise Exposure Schedule" sheetId="2" r:id="rId2"/>
    <sheet name="ABR Raw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H26" i="2" s="1"/>
  <c r="G27" i="2"/>
  <c r="G28" i="2"/>
  <c r="G29" i="2"/>
  <c r="E26" i="1"/>
  <c r="E3" i="1"/>
  <c r="E30" i="1"/>
  <c r="E29" i="1"/>
  <c r="E28" i="2"/>
  <c r="E29" i="2"/>
  <c r="H28" i="2"/>
  <c r="H29" i="2"/>
  <c r="H29" i="1"/>
  <c r="H30" i="1"/>
  <c r="M30" i="1" s="1"/>
  <c r="L30" i="1"/>
  <c r="E26" i="2"/>
  <c r="E27" i="2"/>
  <c r="H27" i="2"/>
  <c r="E27" i="1"/>
  <c r="E28" i="1"/>
  <c r="L28" i="1"/>
  <c r="H28" i="1"/>
  <c r="I28" i="1" s="1"/>
  <c r="H27" i="1"/>
  <c r="I30" i="1" l="1"/>
  <c r="N30" i="1" s="1"/>
  <c r="M29" i="1"/>
  <c r="I29" i="1"/>
  <c r="L29" i="1"/>
  <c r="N28" i="1"/>
  <c r="J28" i="1"/>
  <c r="M28" i="1"/>
  <c r="I27" i="1"/>
  <c r="M27" i="1"/>
  <c r="L2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J30" i="1" l="1"/>
  <c r="O30" i="1" s="1"/>
  <c r="N29" i="1"/>
  <c r="J29" i="1"/>
  <c r="K28" i="1"/>
  <c r="P28" i="1" s="1"/>
  <c r="O28" i="1"/>
  <c r="J27" i="1"/>
  <c r="N27" i="1"/>
  <c r="H3" i="1"/>
  <c r="M3" i="1" s="1"/>
  <c r="H4" i="1"/>
  <c r="M4" i="1" s="1"/>
  <c r="H5" i="1"/>
  <c r="M5" i="1" s="1"/>
  <c r="H6" i="1"/>
  <c r="M6" i="1" s="1"/>
  <c r="H7" i="1"/>
  <c r="M7" i="1" s="1"/>
  <c r="H8" i="1"/>
  <c r="M8" i="1" s="1"/>
  <c r="H9" i="1"/>
  <c r="M9" i="1" s="1"/>
  <c r="H10" i="1"/>
  <c r="M10" i="1" s="1"/>
  <c r="H11" i="1"/>
  <c r="M11" i="1" s="1"/>
  <c r="H12" i="1"/>
  <c r="M12" i="1" s="1"/>
  <c r="H13" i="1"/>
  <c r="M13" i="1" s="1"/>
  <c r="H14" i="1"/>
  <c r="M14" i="1" s="1"/>
  <c r="H15" i="1"/>
  <c r="M15" i="1" s="1"/>
  <c r="H16" i="1"/>
  <c r="M16" i="1" s="1"/>
  <c r="H17" i="1"/>
  <c r="M17" i="1" s="1"/>
  <c r="H18" i="1"/>
  <c r="M18" i="1" s="1"/>
  <c r="H19" i="1"/>
  <c r="M19" i="1" s="1"/>
  <c r="H20" i="1"/>
  <c r="M20" i="1" s="1"/>
  <c r="H21" i="1"/>
  <c r="M21" i="1" s="1"/>
  <c r="H22" i="1"/>
  <c r="M22" i="1" s="1"/>
  <c r="H23" i="1"/>
  <c r="M23" i="1" s="1"/>
  <c r="H24" i="1"/>
  <c r="M24" i="1" s="1"/>
  <c r="H25" i="1"/>
  <c r="M25" i="1" s="1"/>
  <c r="H26" i="1"/>
  <c r="M26" i="1" s="1"/>
  <c r="E9" i="1"/>
  <c r="E11" i="1"/>
  <c r="E14" i="1"/>
  <c r="E13" i="1"/>
  <c r="E12" i="1"/>
  <c r="E10" i="1"/>
  <c r="E4" i="1"/>
  <c r="E8" i="1"/>
  <c r="E7" i="1"/>
  <c r="E6" i="1"/>
  <c r="E5" i="1"/>
  <c r="E25" i="1"/>
  <c r="E24" i="1"/>
  <c r="E23" i="1"/>
  <c r="E22" i="1"/>
  <c r="E21" i="1"/>
  <c r="E16" i="1"/>
  <c r="E15" i="1"/>
  <c r="E17" i="1"/>
  <c r="E20" i="1"/>
  <c r="E19" i="1"/>
  <c r="E18" i="1"/>
  <c r="K30" i="1" l="1"/>
  <c r="P30" i="1" s="1"/>
  <c r="O29" i="1"/>
  <c r="K29" i="1"/>
  <c r="P29" i="1" s="1"/>
  <c r="K27" i="1"/>
  <c r="P27" i="1" s="1"/>
  <c r="O27" i="1"/>
  <c r="I4" i="1"/>
  <c r="N4" i="1" s="1"/>
  <c r="I5" i="1"/>
  <c r="N5" i="1" s="1"/>
  <c r="I6" i="1"/>
  <c r="N6" i="1" s="1"/>
  <c r="I7" i="1"/>
  <c r="N7" i="1" s="1"/>
  <c r="I8" i="1"/>
  <c r="N8" i="1" s="1"/>
  <c r="I9" i="1"/>
  <c r="N9" i="1" s="1"/>
  <c r="I10" i="1"/>
  <c r="N10" i="1" s="1"/>
  <c r="I11" i="1"/>
  <c r="N11" i="1" s="1"/>
  <c r="I12" i="1"/>
  <c r="N12" i="1" s="1"/>
  <c r="I13" i="1"/>
  <c r="N13" i="1" s="1"/>
  <c r="I14" i="1"/>
  <c r="N14" i="1" s="1"/>
  <c r="I15" i="1"/>
  <c r="N15" i="1" s="1"/>
  <c r="I16" i="1"/>
  <c r="N16" i="1" s="1"/>
  <c r="I17" i="1"/>
  <c r="N17" i="1" s="1"/>
  <c r="I18" i="1"/>
  <c r="N18" i="1" s="1"/>
  <c r="I19" i="1"/>
  <c r="N19" i="1" s="1"/>
  <c r="I20" i="1"/>
  <c r="N20" i="1" s="1"/>
  <c r="I21" i="1"/>
  <c r="N21" i="1" s="1"/>
  <c r="I22" i="1"/>
  <c r="N22" i="1" s="1"/>
  <c r="I23" i="1"/>
  <c r="N23" i="1" s="1"/>
  <c r="I24" i="1"/>
  <c r="N24" i="1" s="1"/>
  <c r="I25" i="1"/>
  <c r="N25" i="1" s="1"/>
  <c r="I26" i="1"/>
  <c r="N26" i="1" s="1"/>
  <c r="I3" i="1"/>
  <c r="N3" i="1" s="1"/>
  <c r="J3" i="1" l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O4" i="1" l="1"/>
  <c r="K4" i="1"/>
  <c r="P4" i="1" s="1"/>
  <c r="O5" i="1"/>
  <c r="K5" i="1"/>
  <c r="P5" i="1" s="1"/>
  <c r="O6" i="1"/>
  <c r="K6" i="1"/>
  <c r="P6" i="1" s="1"/>
  <c r="O7" i="1"/>
  <c r="K7" i="1"/>
  <c r="P7" i="1" s="1"/>
  <c r="O8" i="1"/>
  <c r="K8" i="1"/>
  <c r="P8" i="1" s="1"/>
  <c r="O9" i="1"/>
  <c r="K9" i="1"/>
  <c r="P9" i="1" s="1"/>
  <c r="O10" i="1"/>
  <c r="K10" i="1"/>
  <c r="P10" i="1" s="1"/>
  <c r="O11" i="1"/>
  <c r="K11" i="1"/>
  <c r="P11" i="1" s="1"/>
  <c r="O12" i="1"/>
  <c r="K12" i="1"/>
  <c r="P12" i="1" s="1"/>
  <c r="O13" i="1"/>
  <c r="K13" i="1"/>
  <c r="P13" i="1" s="1"/>
  <c r="O14" i="1"/>
  <c r="K14" i="1"/>
  <c r="P14" i="1" s="1"/>
  <c r="O15" i="1"/>
  <c r="K15" i="1"/>
  <c r="P15" i="1" s="1"/>
  <c r="O16" i="1"/>
  <c r="K16" i="1"/>
  <c r="P16" i="1" s="1"/>
  <c r="O17" i="1"/>
  <c r="K17" i="1"/>
  <c r="P17" i="1" s="1"/>
  <c r="O18" i="1"/>
  <c r="K18" i="1"/>
  <c r="P18" i="1" s="1"/>
  <c r="O19" i="1"/>
  <c r="K19" i="1"/>
  <c r="P19" i="1" s="1"/>
  <c r="O20" i="1"/>
  <c r="K20" i="1"/>
  <c r="P20" i="1" s="1"/>
  <c r="O21" i="1"/>
  <c r="K21" i="1"/>
  <c r="P21" i="1" s="1"/>
  <c r="O22" i="1"/>
  <c r="K22" i="1"/>
  <c r="P22" i="1" s="1"/>
  <c r="O23" i="1"/>
  <c r="K23" i="1"/>
  <c r="P23" i="1" s="1"/>
  <c r="O24" i="1"/>
  <c r="K24" i="1"/>
  <c r="P24" i="1" s="1"/>
  <c r="O25" i="1"/>
  <c r="K25" i="1"/>
  <c r="P25" i="1" s="1"/>
  <c r="O26" i="1"/>
  <c r="K26" i="1"/>
  <c r="P26" i="1" s="1"/>
  <c r="O3" i="1"/>
  <c r="K3" i="1"/>
  <c r="P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tc={30AF37CE-124A-46DB-9AE2-D10FBD92D1B8}</author>
    <author>tc={FE4026FE-29D5-469B-9214-4D28AB9F1577}</author>
    <author>tc={699A3C71-FC9D-4E40-A9C1-8EC5EADA18A8}</author>
    <author>tc={074FF2C5-F55C-4805-B64F-03DF80642D1A}</author>
  </authors>
  <commentList>
    <comment ref="A1" authorId="0" shapeId="0" xr:uid="{30AF37CE-124A-46DB-9AE2-D10FBD92D1B8}">
      <text>
        <t>[Threaded comment]
Your version of Excel allows you to read this threaded comment; however, any edits to it will get removed if the file is opened in a newer version of Excel. Learn more: https://go.microsoft.com/fwlink/?linkid=870924
Comment:
    Hello! This is an example of data table I have had to maintain and use for my thesis project. It works by scheduling mice for several sessions where I performed an automatic brain response (ABR) test on them. The timeframe was based around when I was planning on exposing them to noise. This table include all of their demographic information and which time duration condition I was planning on placing them in. Feel free to hover over any additional comments for more information about how things work or simply feel free to email me about it!</t>
      </text>
    </comment>
    <comment ref="B2" authorId="1" shapeId="0" xr:uid="{FE4026FE-29D5-469B-9214-4D28AB9F157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Filters for strain, sex, and condition all work. So I can rearrange my data if I wanted to look at one specific group, such as all my male mice or all in the 8 hour condition. Additionally, I can organize my mice by age to see, which are the youngest and which are the oldest.</t>
      </text>
    </comment>
    <comment ref="E2" authorId="2" shapeId="0" xr:uid="{699A3C71-FC9D-4E40-A9C1-8EC5EADA18A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filling out all the demographic information about DOB for a new mouse, this table will give me their exact age in the number of days old (d.o.)</t>
      </text>
    </comment>
    <comment ref="G2" authorId="3" shapeId="0" xr:uid="{074FF2C5-F55C-4805-B64F-03DF80642D1A}">
      <text>
        <t>[Threaded comment]
Your version of Excel allows you to read this threaded comment; however, any edits to it will get removed if the file is opened in a newer version of Excel. Learn more: https://go.microsoft.com/fwlink/?linkid=870924
Comment:
    I only have to provide the first day I wish to conduct the mouse's base line ABR and this table provides me with all my subsequent dates based on my schedule of when I need to do them. It also provides me the age for each mouse on the day of each ABR session.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tc={DE564CA1-2F80-4CED-9374-88FDD318CD8B}</author>
    <author>tc={4CDDC2DB-7FFC-4965-BF31-9D1D159728E4}</author>
  </authors>
  <commentList>
    <comment ref="A1" authorId="0" shapeId="0" xr:uid="{DE564CA1-2F80-4CED-9374-88FDD318CD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tab is similar to previous one except that it shows me the projected date that each mice will be starting noise exposure (NE). </t>
      </text>
    </comment>
    <comment ref="G1" authorId="1" shapeId="0" xr:uid="{4CDDC2DB-7FFC-4965-BF31-9D1D159728E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is set up to provide this date after providing the date for the first ABR session in the previous tab.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tc={93FFD75B-6D5D-468B-BDB0-FCF32B279164}</author>
    <author>tc={577FE83D-6C27-4B5E-ABC9-8AB1B263C2DE}</author>
  </authors>
  <commentList>
    <comment ref="A1" authorId="0" shapeId="0" xr:uid="{93FFD75B-6D5D-468B-BDB0-FCF32B2791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following is the raw data that was collected from performing the ABR on each mouse. </t>
      </text>
    </comment>
    <comment ref="M1" authorId="1" shapeId="0" xr:uid="{577FE83D-6C27-4B5E-ABC9-8AB1B263C2DE}">
      <text>
        <t>[Threaded comment]
Your version of Excel allows you to read this threaded comment; however, any edits to it will get removed if the file is opened in a newer version of Excel. Learn more: https://go.microsoft.com/fwlink/?linkid=870924
Comment:
    Five frequencies were tested at eight different amplitude levels, which can be seen in the next column. These results in the electric currents that are collected in columns W through JF.</t>
      </text>
    </comment>
  </commentList>
</comments>
</file>

<file path=xl/sharedStrings.xml><?xml version="1.0" encoding="utf-8"?>
<sst xmlns="http://schemas.openxmlformats.org/spreadsheetml/2006/main" count="344" uniqueCount="79">
  <si>
    <t>Name</t>
  </si>
  <si>
    <t>Strain</t>
  </si>
  <si>
    <t>Gender</t>
  </si>
  <si>
    <t>DOB</t>
  </si>
  <si>
    <t>Age (d.o.)</t>
  </si>
  <si>
    <t>Condition</t>
  </si>
  <si>
    <t>ABR 1 (5 days pre-n.e.)</t>
  </si>
  <si>
    <t>ABR 2 (Day 5 of n.e.)</t>
  </si>
  <si>
    <t>ABR 3 (Day 20 of n.e.)</t>
  </si>
  <si>
    <t>ABR 4 (Day 5 post-n.e.)</t>
  </si>
  <si>
    <t>ABR 5 (Day 20 post-n.e.)</t>
  </si>
  <si>
    <t>Age at ABR 1</t>
  </si>
  <si>
    <t>Age at ABR 2</t>
  </si>
  <si>
    <t>Age at ABR 3</t>
  </si>
  <si>
    <t>Age at ABR 4</t>
  </si>
  <si>
    <t>Rosaria</t>
  </si>
  <si>
    <t>C57</t>
  </si>
  <si>
    <t>F</t>
  </si>
  <si>
    <t>8HRS</t>
  </si>
  <si>
    <t>Irina</t>
  </si>
  <si>
    <t>Quelaag</t>
  </si>
  <si>
    <t>Artorias</t>
  </si>
  <si>
    <t>M</t>
  </si>
  <si>
    <t>Sif</t>
  </si>
  <si>
    <t>Eygon</t>
  </si>
  <si>
    <t>Velka</t>
  </si>
  <si>
    <t>23HRS</t>
  </si>
  <si>
    <t>Alsanna</t>
  </si>
  <si>
    <t>Nashandra</t>
  </si>
  <si>
    <t>Patches</t>
  </si>
  <si>
    <t>Hawkwood</t>
  </si>
  <si>
    <t>Kalameet</t>
  </si>
  <si>
    <t>Lucatiel</t>
  </si>
  <si>
    <t>CBA</t>
  </si>
  <si>
    <t>Priscilla</t>
  </si>
  <si>
    <t>Friede</t>
  </si>
  <si>
    <t>Solaire</t>
  </si>
  <si>
    <t>Gwyn</t>
  </si>
  <si>
    <t>Ornestein</t>
  </si>
  <si>
    <t>Reah</t>
  </si>
  <si>
    <t>Yuria</t>
  </si>
  <si>
    <t>Sirris</t>
  </si>
  <si>
    <t>Siegmeyer</t>
  </si>
  <si>
    <t>Lautrec</t>
  </si>
  <si>
    <t>Smough</t>
  </si>
  <si>
    <t>NE Start</t>
  </si>
  <si>
    <t>NE End</t>
  </si>
  <si>
    <t>Booth</t>
  </si>
  <si>
    <t>8HRs</t>
  </si>
  <si>
    <t>23HRs</t>
  </si>
  <si>
    <t>Aoife</t>
  </si>
  <si>
    <t>Isolde</t>
  </si>
  <si>
    <t>Knuckles</t>
  </si>
  <si>
    <t>Clarke</t>
  </si>
  <si>
    <t>Age at ABR 5</t>
  </si>
  <si>
    <t>READ ME</t>
  </si>
  <si>
    <t>SGI</t>
  </si>
  <si>
    <t>Rec No.</t>
  </si>
  <si>
    <t>Gain</t>
  </si>
  <si>
    <t>No. Avgs</t>
  </si>
  <si>
    <t>No. Arts</t>
  </si>
  <si>
    <t>Time</t>
  </si>
  <si>
    <t>Chan</t>
  </si>
  <si>
    <t>Sub. ID</t>
  </si>
  <si>
    <t>Sub. Ref-1</t>
  </si>
  <si>
    <t>Sub. Ref-2</t>
  </si>
  <si>
    <t>Sub. Memo</t>
  </si>
  <si>
    <t>Freq(Hz)</t>
  </si>
  <si>
    <t>Level(dB)</t>
  </si>
  <si>
    <t>Atten-A(dB)</t>
  </si>
  <si>
    <t>Phase(deg)</t>
  </si>
  <si>
    <t>Duration(ms)</t>
  </si>
  <si>
    <t>GateTime(ms)</t>
  </si>
  <si>
    <t>Samp. Per.</t>
  </si>
  <si>
    <t>No. Samps.</t>
  </si>
  <si>
    <t>O.S. Time</t>
  </si>
  <si>
    <t>Data(nv)...</t>
  </si>
  <si>
    <t xml:space="preserve"> </t>
  </si>
  <si>
    <t xml:space="preserve">ABR 3 left 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</si>
</sst>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4"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de Leinbach" id="{58D5EA39-9934-470B-979D-31C5AA9F84A4}" userId="c2ee7ec0f8ebb27f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E518A-9A04-43A6-B985-455A5D1F1DC1}" name="Table1" displayName="Table1" ref="A2:P30" headerRowDxfId="33">
  <autoFilter ref="A2:P30" xr:uid="{C69AF144-E324-4DED-81A8-A87DEED69E50}"/>
  <sortState xmlns:xlrd2="http://schemas.microsoft.com/office/spreadsheetml/2017/richdata2" ref="A3:P30">
    <sortCondition ref="G2:G30"/>
  </sortState>
  <tableColumns count="16">
    <tableColumn id="1" xr3:uid="{35669F41-64FE-4B66-9C5A-806720E8DCE5}" name="Name" totalsRowLabel="Total" dataDxfId="32" totalsRowDxfId="31"/>
    <tableColumn id="2" xr3:uid="{9609C907-48F5-4127-9443-E5ADD0DC0C18}" name="Strain" dataDxfId="30" totalsRowDxfId="29"/>
    <tableColumn id="3" xr3:uid="{E59F1E8B-8A38-4C46-973A-70C23BE4F800}" name="Gender" dataDxfId="28" totalsRowDxfId="27"/>
    <tableColumn id="5" xr3:uid="{1322C1C5-91B0-453D-88C2-52E53FD95DF0}" name="DOB" dataDxfId="26" totalsRowDxfId="25"/>
    <tableColumn id="6" xr3:uid="{94420C63-B63E-4DE5-9521-CAF643F9D5D0}" name="Age (d.o.)" dataDxfId="24" totalsRowDxfId="23">
      <calculatedColumnFormula>#REF!-Table1[[#This Row],[DOB]]</calculatedColumnFormula>
    </tableColumn>
    <tableColumn id="7" xr3:uid="{FD455C4E-65B3-4BF4-A3E9-F15C7C84E637}" name="Condition" dataDxfId="22" totalsRowDxfId="21"/>
    <tableColumn id="8" xr3:uid="{016E6664-BFE2-4006-8DB1-84040E4AC12C}" name="ABR 1 (5 days pre-n.e.)" dataDxfId="20">
      <calculatedColumnFormula>Table1[[#This Row],[DOB]]+295</calculatedColumnFormula>
    </tableColumn>
    <tableColumn id="9" xr3:uid="{256DCB56-3019-4969-94BB-BA44B54280C4}" name="ABR 2 (Day 5 of n.e.)" dataDxfId="19">
      <calculatedColumnFormula>Table1[[#This Row],[ABR 1 (5 days pre-n.e.)]] + 10</calculatedColumnFormula>
    </tableColumn>
    <tableColumn id="10" xr3:uid="{10E3ADDC-067C-4CE7-98F6-5D27897DF243}" name="ABR 3 (Day 20 of n.e.)" totalsRowFunction="count" dataDxfId="18">
      <calculatedColumnFormula>Table1[[#This Row],[ABR 2 (Day 5 of n.e.)]] + 15</calculatedColumnFormula>
    </tableColumn>
    <tableColumn id="11" xr3:uid="{CDB89DAB-8FB9-4D51-AF1F-2A497B4B7E1F}" name="ABR 4 (Day 5 post-n.e.)" dataDxfId="17">
      <calculatedColumnFormula>Table1[[#This Row],[ABR 3 (Day 20 of n.e.)]] + 25</calculatedColumnFormula>
    </tableColumn>
    <tableColumn id="19" xr3:uid="{AF3C9A12-B6CC-4C2C-B24B-2329695C364A}" name="ABR 5 (Day 20 post-n.e.)" dataDxfId="16">
      <calculatedColumnFormula>Table1[[#This Row],[ABR 4 (Day 5 post-n.e.)]] + 15</calculatedColumnFormula>
    </tableColumn>
    <tableColumn id="20" xr3:uid="{606862D2-02E5-42A2-A256-4493C6CB8BBD}" name="Age at ABR 1" dataDxfId="15">
      <calculatedColumnFormula>Table1[[#This Row],[ABR 1 (5 days pre-n.e.)]] -Table1[[#This Row],[DOB]]</calculatedColumnFormula>
    </tableColumn>
    <tableColumn id="21" xr3:uid="{36A7859A-4509-40D2-B004-5FCDFCE5FCD1}" name="Age at ABR 2" dataDxfId="14">
      <calculatedColumnFormula>Table1[[#This Row],[ABR 2 (Day 5 of n.e.)]] - Table1[[#This Row],[DOB]]</calculatedColumnFormula>
    </tableColumn>
    <tableColumn id="22" xr3:uid="{9C1C1C27-6D5E-42D8-9DB9-63CFA7195606}" name="Age at ABR 3" dataDxfId="13">
      <calculatedColumnFormula>Table1[[#This Row],[ABR 3 (Day 20 of n.e.)]] - Table1[[#This Row],[DOB]]</calculatedColumnFormula>
    </tableColumn>
    <tableColumn id="23" xr3:uid="{2197D476-34FE-48F8-888F-7CE4369DED7E}" name="Age at ABR 4" dataDxfId="12">
      <calculatedColumnFormula xml:space="preserve"> Table1[[#This Row],[ABR 4 (Day 5 post-n.e.)]] -Table1[[#This Row],[DOB]]</calculatedColumnFormula>
    </tableColumn>
    <tableColumn id="12" xr3:uid="{6629FB09-D70A-41BD-A3E4-C6198B294AD5}" name="Age at ABR 5" dataDxfId="11">
      <calculatedColumnFormula>Table1[[#This Row],[ABR 5 (Day 20 post-n.e.)]] -Table1[[#This Row],[DOB]]</calculatedColumnFormula>
    </tableColumn>
  </tableColumns>
  <tableStyleInfo name="TableStyleMedium6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9AB2F5-0B55-45D1-A1C0-03F14347563A}" name="Table4" displayName="Table4" ref="A1:I29" totalsRowShown="0" headerRowDxfId="10" dataDxfId="9">
  <autoFilter ref="A1:I29" xr:uid="{649AB2F5-0B55-45D1-A1C0-03F14347563A}"/>
  <sortState xmlns:xlrd2="http://schemas.microsoft.com/office/spreadsheetml/2017/richdata2" ref="A2:I29">
    <sortCondition ref="G1:G29"/>
  </sortState>
  <tableColumns count="9">
    <tableColumn id="1" xr3:uid="{2620B10E-2A3E-4C79-8A3F-D9C92E0D7769}" name="Name" dataDxfId="8"/>
    <tableColumn id="2" xr3:uid="{00746204-EC27-4B2D-A63A-7A1188B1DD92}" name="Strain" dataDxfId="7"/>
    <tableColumn id="3" xr3:uid="{181EE643-A9C6-4A55-B789-5A8DE06E63BF}" name="Gender" dataDxfId="6"/>
    <tableColumn id="5" xr3:uid="{F3D272D9-5EEC-4E77-83DC-150BF8617041}" name="DOB" dataDxfId="5"/>
    <tableColumn id="6" xr3:uid="{8B7F5596-ADCF-4F70-8B7A-F89F253B68F7}" name="Age (d.o.)" dataDxfId="4">
      <calculatedColumnFormula xml:space="preserve"> TODAY() - Table4[[#This Row],[DOB]]</calculatedColumnFormula>
    </tableColumn>
    <tableColumn id="7" xr3:uid="{F334AA92-4B77-4112-B698-23A7C9727EAB}" name="Condition" dataDxfId="3"/>
    <tableColumn id="8" xr3:uid="{514ECCE0-FD8D-400A-BA26-BFDAC9219B45}" name="NE Start" dataDxfId="2">
      <calculatedColumnFormula>ABRs!G3 + 5</calculatedColumnFormula>
    </tableColumn>
    <tableColumn id="9" xr3:uid="{199DEB86-DAD8-43F8-B261-49B3E6CDFFDC}" name="NE End" dataDxfId="1">
      <calculatedColumnFormula>Table4[[#This Row],[NE Start]] + 40</calculatedColumnFormula>
    </tableColumn>
    <tableColumn id="10" xr3:uid="{C338FC4B-CAE9-449D-8FAD-D3C074BE6365}" name="Booth" dataDxfId="0"/>
  </tableColumns>
  <tableStyleInfo name="TableStyleMedium6" showFirstColumn="1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2-01T18:30:04.66" personId="{58D5EA39-9934-470B-979D-31C5AA9F84A4}" id="{30AF37CE-124A-46DB-9AE2-D10FBD92D1B8}">
    <text>Hello! This is an example of data table I have had to maintain and use for my thesis project. It works by scheduling mice for several sessions where I performed an automatic brain response (ABR) test on them. The timeframe was based around when I was planning on exposing them to noise. This table include all of their demographic information and which time duration condition I was planning on placing them in. Feel free to hover over any additional comments for more information about how things work or simply feel free to email me about it!</text>
  </threadedComment>
  <threadedComment ref="B2" dT="2023-12-01T18:14:20.88" personId="{58D5EA39-9934-470B-979D-31C5AA9F84A4}" id="{FE4026FE-29D5-469B-9214-4D28AB9F1577}">
    <text>Filters for strain, sex, and condition all work. So I can rearrange my data if I wanted to look at one specific group, such as all my male mice or all in the 8 hour condition. Additionally, I can organize my mice by age to see, which are the youngest and which are the oldest.</text>
  </threadedComment>
  <threadedComment ref="E2" dT="2023-12-01T18:11:23.18" personId="{58D5EA39-9934-470B-979D-31C5AA9F84A4}" id="{699A3C71-FC9D-4E40-A9C1-8EC5EADA18A8}">
    <text>After filling out all the demographic information about DOB for a new mouse, this table will give me their exact age in the number of days old (d.o.)</text>
  </threadedComment>
  <threadedComment ref="G2" dT="2023-12-01T18:12:17.36" personId="{58D5EA39-9934-470B-979D-31C5AA9F84A4}" id="{074FF2C5-F55C-4805-B64F-03DF80642D1A}">
    <text>I only have to provide the first day I wish to conduct the mouse's base line ABR and this table provides me with all my subsequent dates based on my schedule of when I need to do them. It also provides me the age for each mouse on the day of each ABR session.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3-12-01T18:16:09.69" personId="{58D5EA39-9934-470B-979D-31C5AA9F84A4}" id="{DE564CA1-2F80-4CED-9374-88FDD318CD8B}">
    <text xml:space="preserve">This tab is similar to previous one except that it shows me the projected date that each mice will be starting noise exposure (NE). </text>
  </threadedComment>
  <threadedComment ref="G1" dT="2023-12-01T18:16:43.58" personId="{58D5EA39-9934-470B-979D-31C5AA9F84A4}" id="{4CDDC2DB-7FFC-4965-BF31-9D1D159728E4}">
    <text>Formula is set up to provide this date after providing the date for the first ABR session in the previous tab.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5-08-14T19:52:14.73" personId="{58D5EA39-9934-470B-979D-31C5AA9F84A4}" id="{93FFD75B-6D5D-468B-BDB0-FCF32B279164}">
    <text xml:space="preserve">The following is the raw data that was collected from performing the ABR on each mouse. </text>
  </threadedComment>
  <threadedComment ref="M1" dT="2025-08-14T19:53:55.50" personId="{58D5EA39-9934-470B-979D-31C5AA9F84A4}" id="{577FE83D-6C27-4B5E-ABC9-8AB1B263C2DE}">
    <text>Five frequencies were tested at eight different amplitude levels, which can be seen in the next column. These results in the electric currents that are collected in columns W through JF.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4FB4-3D1A-46DC-9BEB-91CE08A09721}">
  <dimension ref="A1:P30"/>
  <sheetViews>
    <sheetView tabSelected="1" zoomScale="90" zoomScaleNormal="90" workbookViewId="0"/>
  </sheetViews>
  <sheetFormatPr defaultRowHeight="14.6" x14ac:dyDescent="0.4"/>
  <cols>
    <col min="1" max="1" width="12.4609375" customWidth="1"/>
    <col min="2" max="2" width="11.23046875" customWidth="1"/>
    <col min="3" max="3" width="9.84375" style="4" customWidth="1"/>
    <col min="4" max="4" width="10" style="2" customWidth="1"/>
    <col min="5" max="5" width="11.84375" customWidth="1"/>
    <col min="6" max="6" width="12" style="1" customWidth="1"/>
    <col min="7" max="7" width="22.23046875" style="3" customWidth="1"/>
    <col min="8" max="8" width="19.69140625" style="5" customWidth="1"/>
    <col min="9" max="9" width="20.69140625" style="5" customWidth="1"/>
    <col min="10" max="11" width="22.69140625" style="4" customWidth="1"/>
    <col min="12" max="12" width="14.15234375" style="4" customWidth="1"/>
    <col min="13" max="13" width="14.15234375" customWidth="1"/>
    <col min="14" max="14" width="14.4609375" customWidth="1"/>
    <col min="15" max="15" width="13.84375" customWidth="1"/>
    <col min="16" max="16" width="12.15234375" customWidth="1"/>
  </cols>
  <sheetData>
    <row r="1" spans="1:16" x14ac:dyDescent="0.4">
      <c r="A1" s="6" t="s">
        <v>55</v>
      </c>
    </row>
    <row r="2" spans="1:16" x14ac:dyDescent="0.4">
      <c r="A2" s="1" t="s">
        <v>0</v>
      </c>
      <c r="B2" s="1" t="s">
        <v>1</v>
      </c>
      <c r="C2" s="1" t="s">
        <v>2</v>
      </c>
      <c r="D2" s="3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1" t="s">
        <v>12</v>
      </c>
      <c r="N2" s="1" t="s">
        <v>13</v>
      </c>
      <c r="O2" s="1" t="s">
        <v>14</v>
      </c>
      <c r="P2" s="1" t="s">
        <v>54</v>
      </c>
    </row>
    <row r="3" spans="1:16" x14ac:dyDescent="0.4">
      <c r="A3" s="4" t="s">
        <v>15</v>
      </c>
      <c r="B3" s="4" t="s">
        <v>16</v>
      </c>
      <c r="C3" s="4" t="s">
        <v>17</v>
      </c>
      <c r="D3" s="5">
        <v>44803</v>
      </c>
      <c r="E3" s="4">
        <f ca="1">TODAY()-Table1[[#This Row],[DOB]]</f>
        <v>1336</v>
      </c>
      <c r="F3" s="1" t="s">
        <v>18</v>
      </c>
      <c r="G3" s="5">
        <v>45104</v>
      </c>
      <c r="H3" s="5">
        <f>Table1[[#This Row],[ABR 1 (5 days pre-n.e.)]] + 10</f>
        <v>45114</v>
      </c>
      <c r="I3" s="5">
        <f>Table1[[#This Row],[ABR 2 (Day 5 of n.e.)]] + 15</f>
        <v>45129</v>
      </c>
      <c r="J3" s="5">
        <f>Table1[[#This Row],[ABR 3 (Day 20 of n.e.)]] + 25</f>
        <v>45154</v>
      </c>
      <c r="K3" s="5">
        <f>Table1[[#This Row],[ABR 4 (Day 5 post-n.e.)]] + 15</f>
        <v>45169</v>
      </c>
      <c r="L3" s="4">
        <f>Table1[[#This Row],[ABR 1 (5 days pre-n.e.)]] -Table1[[#This Row],[DOB]]</f>
        <v>301</v>
      </c>
      <c r="M3" s="4">
        <f>Table1[[#This Row],[ABR 2 (Day 5 of n.e.)]] - Table1[[#This Row],[DOB]]</f>
        <v>311</v>
      </c>
      <c r="N3" s="4">
        <f>Table1[[#This Row],[ABR 3 (Day 20 of n.e.)]] - Table1[[#This Row],[DOB]]</f>
        <v>326</v>
      </c>
      <c r="O3" s="4">
        <f xml:space="preserve"> Table1[[#This Row],[ABR 4 (Day 5 post-n.e.)]] -Table1[[#This Row],[DOB]]</f>
        <v>351</v>
      </c>
      <c r="P3" s="4">
        <f>Table1[[#This Row],[ABR 5 (Day 20 post-n.e.)]] -Table1[[#This Row],[DOB]]</f>
        <v>366</v>
      </c>
    </row>
    <row r="4" spans="1:16" x14ac:dyDescent="0.4">
      <c r="A4" s="4" t="s">
        <v>19</v>
      </c>
      <c r="B4" s="4" t="s">
        <v>16</v>
      </c>
      <c r="C4" s="4" t="s">
        <v>17</v>
      </c>
      <c r="D4" s="5">
        <v>44803</v>
      </c>
      <c r="E4" s="4">
        <f ca="1">TODAY()-Table1[[#This Row],[DOB]]</f>
        <v>1336</v>
      </c>
      <c r="F4" s="1" t="s">
        <v>18</v>
      </c>
      <c r="G4" s="5">
        <v>45104</v>
      </c>
      <c r="H4" s="5">
        <f>Table1[[#This Row],[ABR 1 (5 days pre-n.e.)]] + 10</f>
        <v>45114</v>
      </c>
      <c r="I4" s="5">
        <f>Table1[[#This Row],[ABR 2 (Day 5 of n.e.)]] + 15</f>
        <v>45129</v>
      </c>
      <c r="J4" s="5">
        <f>Table1[[#This Row],[ABR 3 (Day 20 of n.e.)]] + 25</f>
        <v>45154</v>
      </c>
      <c r="K4" s="5">
        <f>Table1[[#This Row],[ABR 4 (Day 5 post-n.e.)]] + 15</f>
        <v>45169</v>
      </c>
      <c r="L4" s="4">
        <f>Table1[[#This Row],[ABR 1 (5 days pre-n.e.)]] -Table1[[#This Row],[DOB]]</f>
        <v>301</v>
      </c>
      <c r="M4" s="4">
        <f>Table1[[#This Row],[ABR 2 (Day 5 of n.e.)]] - Table1[[#This Row],[DOB]]</f>
        <v>311</v>
      </c>
      <c r="N4" s="4">
        <f>Table1[[#This Row],[ABR 3 (Day 20 of n.e.)]] - Table1[[#This Row],[DOB]]</f>
        <v>326</v>
      </c>
      <c r="O4" s="4">
        <f xml:space="preserve"> Table1[[#This Row],[ABR 4 (Day 5 post-n.e.)]] -Table1[[#This Row],[DOB]]</f>
        <v>351</v>
      </c>
      <c r="P4" s="4">
        <f>Table1[[#This Row],[ABR 5 (Day 20 post-n.e.)]] -Table1[[#This Row],[DOB]]</f>
        <v>366</v>
      </c>
    </row>
    <row r="5" spans="1:16" x14ac:dyDescent="0.4">
      <c r="A5" s="4" t="s">
        <v>20</v>
      </c>
      <c r="B5" s="4" t="s">
        <v>16</v>
      </c>
      <c r="C5" s="4" t="s">
        <v>17</v>
      </c>
      <c r="D5" s="5">
        <v>44803</v>
      </c>
      <c r="E5" s="4">
        <f ca="1">TODAY()-Table1[[#This Row],[DOB]]</f>
        <v>1336</v>
      </c>
      <c r="F5" s="1" t="s">
        <v>18</v>
      </c>
      <c r="G5" s="5">
        <v>45108</v>
      </c>
      <c r="H5" s="5">
        <f>Table1[[#This Row],[ABR 1 (5 days pre-n.e.)]] + 10</f>
        <v>45118</v>
      </c>
      <c r="I5" s="5">
        <f>Table1[[#This Row],[ABR 2 (Day 5 of n.e.)]] + 15</f>
        <v>45133</v>
      </c>
      <c r="J5" s="5">
        <f>Table1[[#This Row],[ABR 3 (Day 20 of n.e.)]] + 25</f>
        <v>45158</v>
      </c>
      <c r="K5" s="5">
        <f>Table1[[#This Row],[ABR 4 (Day 5 post-n.e.)]] + 15</f>
        <v>45173</v>
      </c>
      <c r="L5" s="4">
        <f>Table1[[#This Row],[ABR 1 (5 days pre-n.e.)]] -Table1[[#This Row],[DOB]]</f>
        <v>305</v>
      </c>
      <c r="M5" s="4">
        <f>Table1[[#This Row],[ABR 2 (Day 5 of n.e.)]] - Table1[[#This Row],[DOB]]</f>
        <v>315</v>
      </c>
      <c r="N5" s="4">
        <f>Table1[[#This Row],[ABR 3 (Day 20 of n.e.)]] - Table1[[#This Row],[DOB]]</f>
        <v>330</v>
      </c>
      <c r="O5" s="4">
        <f xml:space="preserve"> Table1[[#This Row],[ABR 4 (Day 5 post-n.e.)]] -Table1[[#This Row],[DOB]]</f>
        <v>355</v>
      </c>
      <c r="P5" s="4">
        <f>Table1[[#This Row],[ABR 5 (Day 20 post-n.e.)]] -Table1[[#This Row],[DOB]]</f>
        <v>370</v>
      </c>
    </row>
    <row r="6" spans="1:16" x14ac:dyDescent="0.4">
      <c r="A6" s="4" t="s">
        <v>21</v>
      </c>
      <c r="B6" s="4" t="s">
        <v>16</v>
      </c>
      <c r="C6" s="4" t="s">
        <v>22</v>
      </c>
      <c r="D6" s="5">
        <v>44803</v>
      </c>
      <c r="E6" s="4">
        <f ca="1">TODAY()-Table1[[#This Row],[DOB]]</f>
        <v>1336</v>
      </c>
      <c r="F6" s="1" t="s">
        <v>18</v>
      </c>
      <c r="G6" s="5">
        <v>45114</v>
      </c>
      <c r="H6" s="5">
        <f>Table1[[#This Row],[ABR 1 (5 days pre-n.e.)]] + 10</f>
        <v>45124</v>
      </c>
      <c r="I6" s="5">
        <f>Table1[[#This Row],[ABR 2 (Day 5 of n.e.)]] + 15</f>
        <v>45139</v>
      </c>
      <c r="J6" s="5">
        <f>Table1[[#This Row],[ABR 3 (Day 20 of n.e.)]] + 25</f>
        <v>45164</v>
      </c>
      <c r="K6" s="5">
        <f>Table1[[#This Row],[ABR 4 (Day 5 post-n.e.)]] + 15</f>
        <v>45179</v>
      </c>
      <c r="L6" s="4">
        <f>Table1[[#This Row],[ABR 1 (5 days pre-n.e.)]] -Table1[[#This Row],[DOB]]</f>
        <v>311</v>
      </c>
      <c r="M6" s="4">
        <f>Table1[[#This Row],[ABR 2 (Day 5 of n.e.)]] - Table1[[#This Row],[DOB]]</f>
        <v>321</v>
      </c>
      <c r="N6" s="4">
        <f>Table1[[#This Row],[ABR 3 (Day 20 of n.e.)]] - Table1[[#This Row],[DOB]]</f>
        <v>336</v>
      </c>
      <c r="O6" s="4">
        <f xml:space="preserve"> Table1[[#This Row],[ABR 4 (Day 5 post-n.e.)]] -Table1[[#This Row],[DOB]]</f>
        <v>361</v>
      </c>
      <c r="P6" s="4">
        <f>Table1[[#This Row],[ABR 5 (Day 20 post-n.e.)]] -Table1[[#This Row],[DOB]]</f>
        <v>376</v>
      </c>
    </row>
    <row r="7" spans="1:16" x14ac:dyDescent="0.4">
      <c r="A7" s="4" t="s">
        <v>23</v>
      </c>
      <c r="B7" s="4" t="s">
        <v>16</v>
      </c>
      <c r="C7" s="4" t="s">
        <v>22</v>
      </c>
      <c r="D7" s="5">
        <v>44803</v>
      </c>
      <c r="E7" s="4">
        <f ca="1">TODAY()-Table1[[#This Row],[DOB]]</f>
        <v>1336</v>
      </c>
      <c r="F7" s="1" t="s">
        <v>18</v>
      </c>
      <c r="G7" s="5">
        <v>45114</v>
      </c>
      <c r="H7" s="5">
        <f>Table1[[#This Row],[ABR 1 (5 days pre-n.e.)]] + 10</f>
        <v>45124</v>
      </c>
      <c r="I7" s="5">
        <f>Table1[[#This Row],[ABR 2 (Day 5 of n.e.)]] + 15</f>
        <v>45139</v>
      </c>
      <c r="J7" s="5">
        <f>Table1[[#This Row],[ABR 3 (Day 20 of n.e.)]] + 25</f>
        <v>45164</v>
      </c>
      <c r="K7" s="5">
        <f>Table1[[#This Row],[ABR 4 (Day 5 post-n.e.)]] + 15</f>
        <v>45179</v>
      </c>
      <c r="L7" s="4">
        <f>Table1[[#This Row],[ABR 1 (5 days pre-n.e.)]] -Table1[[#This Row],[DOB]]</f>
        <v>311</v>
      </c>
      <c r="M7" s="4">
        <f>Table1[[#This Row],[ABR 2 (Day 5 of n.e.)]] - Table1[[#This Row],[DOB]]</f>
        <v>321</v>
      </c>
      <c r="N7" s="4">
        <f>Table1[[#This Row],[ABR 3 (Day 20 of n.e.)]] - Table1[[#This Row],[DOB]]</f>
        <v>336</v>
      </c>
      <c r="O7" s="4">
        <f xml:space="preserve"> Table1[[#This Row],[ABR 4 (Day 5 post-n.e.)]] -Table1[[#This Row],[DOB]]</f>
        <v>361</v>
      </c>
      <c r="P7" s="4">
        <f>Table1[[#This Row],[ABR 5 (Day 20 post-n.e.)]] -Table1[[#This Row],[DOB]]</f>
        <v>376</v>
      </c>
    </row>
    <row r="8" spans="1:16" x14ac:dyDescent="0.4">
      <c r="A8" s="4" t="s">
        <v>24</v>
      </c>
      <c r="B8" s="4" t="s">
        <v>16</v>
      </c>
      <c r="C8" s="4" t="s">
        <v>22</v>
      </c>
      <c r="D8" s="5">
        <v>44803</v>
      </c>
      <c r="E8" s="4">
        <f ca="1">TODAY()-Table1[[#This Row],[DOB]]</f>
        <v>1336</v>
      </c>
      <c r="F8" s="1" t="s">
        <v>18</v>
      </c>
      <c r="G8" s="5">
        <v>45114</v>
      </c>
      <c r="H8" s="5">
        <f>Table1[[#This Row],[ABR 1 (5 days pre-n.e.)]] + 10</f>
        <v>45124</v>
      </c>
      <c r="I8" s="5">
        <f>Table1[[#This Row],[ABR 2 (Day 5 of n.e.)]] + 15</f>
        <v>45139</v>
      </c>
      <c r="J8" s="5">
        <f>Table1[[#This Row],[ABR 3 (Day 20 of n.e.)]] + 25</f>
        <v>45164</v>
      </c>
      <c r="K8" s="5">
        <f>Table1[[#This Row],[ABR 4 (Day 5 post-n.e.)]] + 15</f>
        <v>45179</v>
      </c>
      <c r="L8" s="4">
        <f>Table1[[#This Row],[ABR 1 (5 days pre-n.e.)]] -Table1[[#This Row],[DOB]]</f>
        <v>311</v>
      </c>
      <c r="M8" s="4">
        <f>Table1[[#This Row],[ABR 2 (Day 5 of n.e.)]] - Table1[[#This Row],[DOB]]</f>
        <v>321</v>
      </c>
      <c r="N8" s="4">
        <f>Table1[[#This Row],[ABR 3 (Day 20 of n.e.)]] - Table1[[#This Row],[DOB]]</f>
        <v>336</v>
      </c>
      <c r="O8" s="4">
        <f xml:space="preserve"> Table1[[#This Row],[ABR 4 (Day 5 post-n.e.)]] -Table1[[#This Row],[DOB]]</f>
        <v>361</v>
      </c>
      <c r="P8" s="4">
        <f>Table1[[#This Row],[ABR 5 (Day 20 post-n.e.)]] -Table1[[#This Row],[DOB]]</f>
        <v>376</v>
      </c>
    </row>
    <row r="9" spans="1:16" x14ac:dyDescent="0.4">
      <c r="A9" s="4" t="s">
        <v>25</v>
      </c>
      <c r="B9" s="4" t="s">
        <v>16</v>
      </c>
      <c r="C9" s="4" t="s">
        <v>17</v>
      </c>
      <c r="D9" s="5">
        <v>44817</v>
      </c>
      <c r="E9" s="4">
        <f ca="1">TODAY()-Table1[[#This Row],[DOB]]</f>
        <v>1322</v>
      </c>
      <c r="F9" s="1" t="s">
        <v>26</v>
      </c>
      <c r="G9" s="5">
        <v>45120</v>
      </c>
      <c r="H9" s="5">
        <f>Table1[[#This Row],[ABR 1 (5 days pre-n.e.)]] + 10</f>
        <v>45130</v>
      </c>
      <c r="I9" s="5">
        <f>Table1[[#This Row],[ABR 2 (Day 5 of n.e.)]] + 15</f>
        <v>45145</v>
      </c>
      <c r="J9" s="5">
        <f>Table1[[#This Row],[ABR 3 (Day 20 of n.e.)]] + 25</f>
        <v>45170</v>
      </c>
      <c r="K9" s="5">
        <f>Table1[[#This Row],[ABR 4 (Day 5 post-n.e.)]] + 15</f>
        <v>45185</v>
      </c>
      <c r="L9" s="4">
        <f>Table1[[#This Row],[ABR 1 (5 days pre-n.e.)]] -Table1[[#This Row],[DOB]]</f>
        <v>303</v>
      </c>
      <c r="M9" s="4">
        <f>Table1[[#This Row],[ABR 2 (Day 5 of n.e.)]] - Table1[[#This Row],[DOB]]</f>
        <v>313</v>
      </c>
      <c r="N9" s="4">
        <f>Table1[[#This Row],[ABR 3 (Day 20 of n.e.)]] - Table1[[#This Row],[DOB]]</f>
        <v>328</v>
      </c>
      <c r="O9" s="4">
        <f xml:space="preserve"> Table1[[#This Row],[ABR 4 (Day 5 post-n.e.)]] -Table1[[#This Row],[DOB]]</f>
        <v>353</v>
      </c>
      <c r="P9" s="4">
        <f>Table1[[#This Row],[ABR 5 (Day 20 post-n.e.)]] -Table1[[#This Row],[DOB]]</f>
        <v>368</v>
      </c>
    </row>
    <row r="10" spans="1:16" x14ac:dyDescent="0.4">
      <c r="A10" s="4" t="s">
        <v>27</v>
      </c>
      <c r="B10" s="4" t="s">
        <v>16</v>
      </c>
      <c r="C10" s="4" t="s">
        <v>17</v>
      </c>
      <c r="D10" s="5">
        <v>44817</v>
      </c>
      <c r="E10" s="4">
        <f ca="1">TODAY()-Table1[[#This Row],[DOB]]</f>
        <v>1322</v>
      </c>
      <c r="F10" s="1" t="s">
        <v>26</v>
      </c>
      <c r="G10" s="5">
        <v>45120</v>
      </c>
      <c r="H10" s="5">
        <f>Table1[[#This Row],[ABR 1 (5 days pre-n.e.)]] + 10</f>
        <v>45130</v>
      </c>
      <c r="I10" s="5">
        <f>Table1[[#This Row],[ABR 2 (Day 5 of n.e.)]] + 15</f>
        <v>45145</v>
      </c>
      <c r="J10" s="5">
        <f>Table1[[#This Row],[ABR 3 (Day 20 of n.e.)]] + 25</f>
        <v>45170</v>
      </c>
      <c r="K10" s="5">
        <f>Table1[[#This Row],[ABR 4 (Day 5 post-n.e.)]] + 15</f>
        <v>45185</v>
      </c>
      <c r="L10" s="4">
        <f>Table1[[#This Row],[ABR 1 (5 days pre-n.e.)]] -Table1[[#This Row],[DOB]]</f>
        <v>303</v>
      </c>
      <c r="M10" s="4">
        <f>Table1[[#This Row],[ABR 2 (Day 5 of n.e.)]] - Table1[[#This Row],[DOB]]</f>
        <v>313</v>
      </c>
      <c r="N10" s="4">
        <f>Table1[[#This Row],[ABR 3 (Day 20 of n.e.)]] - Table1[[#This Row],[DOB]]</f>
        <v>328</v>
      </c>
      <c r="O10" s="4">
        <f xml:space="preserve"> Table1[[#This Row],[ABR 4 (Day 5 post-n.e.)]] -Table1[[#This Row],[DOB]]</f>
        <v>353</v>
      </c>
      <c r="P10" s="4">
        <f>Table1[[#This Row],[ABR 5 (Day 20 post-n.e.)]] -Table1[[#This Row],[DOB]]</f>
        <v>368</v>
      </c>
    </row>
    <row r="11" spans="1:16" x14ac:dyDescent="0.4">
      <c r="A11" s="4" t="s">
        <v>28</v>
      </c>
      <c r="B11" s="4" t="s">
        <v>16</v>
      </c>
      <c r="C11" s="4" t="s">
        <v>17</v>
      </c>
      <c r="D11" s="5">
        <v>44817</v>
      </c>
      <c r="E11" s="4">
        <f ca="1">TODAY()-Table1[[#This Row],[DOB]]</f>
        <v>1322</v>
      </c>
      <c r="F11" s="1" t="s">
        <v>26</v>
      </c>
      <c r="G11" s="5">
        <v>45120</v>
      </c>
      <c r="H11" s="5">
        <f>Table1[[#This Row],[ABR 1 (5 days pre-n.e.)]] + 10</f>
        <v>45130</v>
      </c>
      <c r="I11" s="5">
        <f>Table1[[#This Row],[ABR 2 (Day 5 of n.e.)]] + 15</f>
        <v>45145</v>
      </c>
      <c r="J11" s="5">
        <f>Table1[[#This Row],[ABR 3 (Day 20 of n.e.)]] + 25</f>
        <v>45170</v>
      </c>
      <c r="K11" s="5">
        <f>Table1[[#This Row],[ABR 4 (Day 5 post-n.e.)]] + 15</f>
        <v>45185</v>
      </c>
      <c r="L11" s="4">
        <f>Table1[[#This Row],[ABR 1 (5 days pre-n.e.)]] -Table1[[#This Row],[DOB]]</f>
        <v>303</v>
      </c>
      <c r="M11" s="4">
        <f>Table1[[#This Row],[ABR 2 (Day 5 of n.e.)]] - Table1[[#This Row],[DOB]]</f>
        <v>313</v>
      </c>
      <c r="N11" s="4">
        <f>Table1[[#This Row],[ABR 3 (Day 20 of n.e.)]] - Table1[[#This Row],[DOB]]</f>
        <v>328</v>
      </c>
      <c r="O11" s="4">
        <f xml:space="preserve"> Table1[[#This Row],[ABR 4 (Day 5 post-n.e.)]] -Table1[[#This Row],[DOB]]</f>
        <v>353</v>
      </c>
      <c r="P11" s="4">
        <f>Table1[[#This Row],[ABR 5 (Day 20 post-n.e.)]] -Table1[[#This Row],[DOB]]</f>
        <v>368</v>
      </c>
    </row>
    <row r="12" spans="1:16" x14ac:dyDescent="0.4">
      <c r="A12" s="4" t="s">
        <v>29</v>
      </c>
      <c r="B12" s="4" t="s">
        <v>16</v>
      </c>
      <c r="C12" s="4" t="s">
        <v>22</v>
      </c>
      <c r="D12" s="5">
        <v>44817</v>
      </c>
      <c r="E12" s="4">
        <f ca="1">TODAY()-Table1[[#This Row],[DOB]]</f>
        <v>1322</v>
      </c>
      <c r="F12" s="1" t="s">
        <v>26</v>
      </c>
      <c r="G12" s="5">
        <v>45128</v>
      </c>
      <c r="H12" s="5">
        <f>Table1[[#This Row],[ABR 1 (5 days pre-n.e.)]] + 10</f>
        <v>45138</v>
      </c>
      <c r="I12" s="5">
        <f>Table1[[#This Row],[ABR 2 (Day 5 of n.e.)]] + 15</f>
        <v>45153</v>
      </c>
      <c r="J12" s="5">
        <f>Table1[[#This Row],[ABR 3 (Day 20 of n.e.)]] + 25</f>
        <v>45178</v>
      </c>
      <c r="K12" s="5">
        <f>Table1[[#This Row],[ABR 4 (Day 5 post-n.e.)]] + 15</f>
        <v>45193</v>
      </c>
      <c r="L12" s="4">
        <f>Table1[[#This Row],[ABR 1 (5 days pre-n.e.)]] -Table1[[#This Row],[DOB]]</f>
        <v>311</v>
      </c>
      <c r="M12" s="4">
        <f>Table1[[#This Row],[ABR 2 (Day 5 of n.e.)]] - Table1[[#This Row],[DOB]]</f>
        <v>321</v>
      </c>
      <c r="N12" s="4">
        <f>Table1[[#This Row],[ABR 3 (Day 20 of n.e.)]] - Table1[[#This Row],[DOB]]</f>
        <v>336</v>
      </c>
      <c r="O12" s="4">
        <f xml:space="preserve"> Table1[[#This Row],[ABR 4 (Day 5 post-n.e.)]] -Table1[[#This Row],[DOB]]</f>
        <v>361</v>
      </c>
      <c r="P12" s="4">
        <f>Table1[[#This Row],[ABR 5 (Day 20 post-n.e.)]] -Table1[[#This Row],[DOB]]</f>
        <v>376</v>
      </c>
    </row>
    <row r="13" spans="1:16" x14ac:dyDescent="0.4">
      <c r="A13" s="4" t="s">
        <v>30</v>
      </c>
      <c r="B13" s="4" t="s">
        <v>16</v>
      </c>
      <c r="C13" s="4" t="s">
        <v>22</v>
      </c>
      <c r="D13" s="5">
        <v>44817</v>
      </c>
      <c r="E13" s="4">
        <f ca="1">TODAY()-Table1[[#This Row],[DOB]]</f>
        <v>1322</v>
      </c>
      <c r="F13" s="1" t="s">
        <v>26</v>
      </c>
      <c r="G13" s="5">
        <v>45128</v>
      </c>
      <c r="H13" s="5">
        <f>Table1[[#This Row],[ABR 1 (5 days pre-n.e.)]] + 10</f>
        <v>45138</v>
      </c>
      <c r="I13" s="5">
        <f>Table1[[#This Row],[ABR 2 (Day 5 of n.e.)]] + 15</f>
        <v>45153</v>
      </c>
      <c r="J13" s="5">
        <f>Table1[[#This Row],[ABR 3 (Day 20 of n.e.)]] + 25</f>
        <v>45178</v>
      </c>
      <c r="K13" s="5">
        <f>Table1[[#This Row],[ABR 4 (Day 5 post-n.e.)]] + 15</f>
        <v>45193</v>
      </c>
      <c r="L13" s="4">
        <f>Table1[[#This Row],[ABR 1 (5 days pre-n.e.)]] -Table1[[#This Row],[DOB]]</f>
        <v>311</v>
      </c>
      <c r="M13" s="4">
        <f>Table1[[#This Row],[ABR 2 (Day 5 of n.e.)]] - Table1[[#This Row],[DOB]]</f>
        <v>321</v>
      </c>
      <c r="N13" s="4">
        <f>Table1[[#This Row],[ABR 3 (Day 20 of n.e.)]] - Table1[[#This Row],[DOB]]</f>
        <v>336</v>
      </c>
      <c r="O13" s="4">
        <f xml:space="preserve"> Table1[[#This Row],[ABR 4 (Day 5 post-n.e.)]] -Table1[[#This Row],[DOB]]</f>
        <v>361</v>
      </c>
      <c r="P13" s="4">
        <f>Table1[[#This Row],[ABR 5 (Day 20 post-n.e.)]] -Table1[[#This Row],[DOB]]</f>
        <v>376</v>
      </c>
    </row>
    <row r="14" spans="1:16" x14ac:dyDescent="0.4">
      <c r="A14" s="4" t="s">
        <v>31</v>
      </c>
      <c r="B14" s="4" t="s">
        <v>16</v>
      </c>
      <c r="C14" s="4" t="s">
        <v>22</v>
      </c>
      <c r="D14" s="5">
        <v>44817</v>
      </c>
      <c r="E14" s="4">
        <f ca="1">TODAY()-Table1[[#This Row],[DOB]]</f>
        <v>1322</v>
      </c>
      <c r="F14" s="1" t="s">
        <v>26</v>
      </c>
      <c r="G14" s="5">
        <v>45132</v>
      </c>
      <c r="H14" s="5">
        <f>Table1[[#This Row],[ABR 1 (5 days pre-n.e.)]] + 10</f>
        <v>45142</v>
      </c>
      <c r="I14" s="5">
        <f>Table1[[#This Row],[ABR 2 (Day 5 of n.e.)]] + 15</f>
        <v>45157</v>
      </c>
      <c r="J14" s="5">
        <f>Table1[[#This Row],[ABR 3 (Day 20 of n.e.)]] + 25</f>
        <v>45182</v>
      </c>
      <c r="K14" s="5">
        <f>Table1[[#This Row],[ABR 4 (Day 5 post-n.e.)]] + 15</f>
        <v>45197</v>
      </c>
      <c r="L14" s="4">
        <f>Table1[[#This Row],[ABR 1 (5 days pre-n.e.)]] -Table1[[#This Row],[DOB]]</f>
        <v>315</v>
      </c>
      <c r="M14" s="4">
        <f>Table1[[#This Row],[ABR 2 (Day 5 of n.e.)]] - Table1[[#This Row],[DOB]]</f>
        <v>325</v>
      </c>
      <c r="N14" s="4">
        <f>Table1[[#This Row],[ABR 3 (Day 20 of n.e.)]] - Table1[[#This Row],[DOB]]</f>
        <v>340</v>
      </c>
      <c r="O14" s="4">
        <f xml:space="preserve"> Table1[[#This Row],[ABR 4 (Day 5 post-n.e.)]] -Table1[[#This Row],[DOB]]</f>
        <v>365</v>
      </c>
      <c r="P14" s="4">
        <f>Table1[[#This Row],[ABR 5 (Day 20 post-n.e.)]] -Table1[[#This Row],[DOB]]</f>
        <v>380</v>
      </c>
    </row>
    <row r="15" spans="1:16" x14ac:dyDescent="0.4">
      <c r="A15" s="4" t="s">
        <v>32</v>
      </c>
      <c r="B15" s="4" t="s">
        <v>33</v>
      </c>
      <c r="C15" s="4" t="s">
        <v>17</v>
      </c>
      <c r="D15" s="5">
        <v>44828</v>
      </c>
      <c r="E15" s="4">
        <f ca="1">TODAY()-Table1[[#This Row],[DOB]]</f>
        <v>1311</v>
      </c>
      <c r="F15" s="1" t="s">
        <v>18</v>
      </c>
      <c r="G15" s="5">
        <v>45136</v>
      </c>
      <c r="H15" s="5">
        <f>Table1[[#This Row],[ABR 1 (5 days pre-n.e.)]] + 10</f>
        <v>45146</v>
      </c>
      <c r="I15" s="5">
        <f>Table1[[#This Row],[ABR 2 (Day 5 of n.e.)]] + 15</f>
        <v>45161</v>
      </c>
      <c r="J15" s="5">
        <f>Table1[[#This Row],[ABR 3 (Day 20 of n.e.)]] + 25</f>
        <v>45186</v>
      </c>
      <c r="K15" s="5">
        <f>Table1[[#This Row],[ABR 4 (Day 5 post-n.e.)]] + 15</f>
        <v>45201</v>
      </c>
      <c r="L15" s="4">
        <f>Table1[[#This Row],[ABR 1 (5 days pre-n.e.)]] -Table1[[#This Row],[DOB]]</f>
        <v>308</v>
      </c>
      <c r="M15" s="4">
        <f>Table1[[#This Row],[ABR 2 (Day 5 of n.e.)]] - Table1[[#This Row],[DOB]]</f>
        <v>318</v>
      </c>
      <c r="N15" s="4">
        <f>Table1[[#This Row],[ABR 3 (Day 20 of n.e.)]] - Table1[[#This Row],[DOB]]</f>
        <v>333</v>
      </c>
      <c r="O15" s="4">
        <f xml:space="preserve"> Table1[[#This Row],[ABR 4 (Day 5 post-n.e.)]] -Table1[[#This Row],[DOB]]</f>
        <v>358</v>
      </c>
      <c r="P15" s="4">
        <f>Table1[[#This Row],[ABR 5 (Day 20 post-n.e.)]] -Table1[[#This Row],[DOB]]</f>
        <v>373</v>
      </c>
    </row>
    <row r="16" spans="1:16" x14ac:dyDescent="0.4">
      <c r="A16" s="4" t="s">
        <v>34</v>
      </c>
      <c r="B16" s="4" t="s">
        <v>33</v>
      </c>
      <c r="C16" s="4" t="s">
        <v>17</v>
      </c>
      <c r="D16" s="5">
        <v>44828</v>
      </c>
      <c r="E16" s="4">
        <f ca="1">TODAY()-Table1[[#This Row],[DOB]]</f>
        <v>1311</v>
      </c>
      <c r="F16" s="1" t="s">
        <v>18</v>
      </c>
      <c r="G16" s="5">
        <v>45136</v>
      </c>
      <c r="H16" s="5">
        <f>Table1[[#This Row],[ABR 1 (5 days pre-n.e.)]] + 10</f>
        <v>45146</v>
      </c>
      <c r="I16" s="5">
        <f>Table1[[#This Row],[ABR 2 (Day 5 of n.e.)]] + 15</f>
        <v>45161</v>
      </c>
      <c r="J16" s="5">
        <f>Table1[[#This Row],[ABR 3 (Day 20 of n.e.)]] + 25</f>
        <v>45186</v>
      </c>
      <c r="K16" s="5">
        <f>Table1[[#This Row],[ABR 4 (Day 5 post-n.e.)]] + 15</f>
        <v>45201</v>
      </c>
      <c r="L16" s="4">
        <f>Table1[[#This Row],[ABR 1 (5 days pre-n.e.)]] -Table1[[#This Row],[DOB]]</f>
        <v>308</v>
      </c>
      <c r="M16" s="4">
        <f>Table1[[#This Row],[ABR 2 (Day 5 of n.e.)]] - Table1[[#This Row],[DOB]]</f>
        <v>318</v>
      </c>
      <c r="N16" s="4">
        <f>Table1[[#This Row],[ABR 3 (Day 20 of n.e.)]] - Table1[[#This Row],[DOB]]</f>
        <v>333</v>
      </c>
      <c r="O16" s="4">
        <f xml:space="preserve"> Table1[[#This Row],[ABR 4 (Day 5 post-n.e.)]] -Table1[[#This Row],[DOB]]</f>
        <v>358</v>
      </c>
      <c r="P16" s="4">
        <f>Table1[[#This Row],[ABR 5 (Day 20 post-n.e.)]] -Table1[[#This Row],[DOB]]</f>
        <v>373</v>
      </c>
    </row>
    <row r="17" spans="1:16" x14ac:dyDescent="0.4">
      <c r="A17" s="4" t="s">
        <v>35</v>
      </c>
      <c r="B17" s="4" t="s">
        <v>33</v>
      </c>
      <c r="C17" s="4" t="s">
        <v>17</v>
      </c>
      <c r="D17" s="5">
        <v>44828</v>
      </c>
      <c r="E17" s="4">
        <f ca="1">TODAY()-Table1[[#This Row],[DOB]]</f>
        <v>1311</v>
      </c>
      <c r="F17" s="1" t="s">
        <v>18</v>
      </c>
      <c r="G17" s="5">
        <v>45136</v>
      </c>
      <c r="H17" s="5">
        <f>Table1[[#This Row],[ABR 1 (5 days pre-n.e.)]] + 10</f>
        <v>45146</v>
      </c>
      <c r="I17" s="5">
        <f>Table1[[#This Row],[ABR 2 (Day 5 of n.e.)]] + 15</f>
        <v>45161</v>
      </c>
      <c r="J17" s="5">
        <f>Table1[[#This Row],[ABR 3 (Day 20 of n.e.)]] + 25</f>
        <v>45186</v>
      </c>
      <c r="K17" s="5">
        <f>Table1[[#This Row],[ABR 4 (Day 5 post-n.e.)]] + 15</f>
        <v>45201</v>
      </c>
      <c r="L17" s="4">
        <f>Table1[[#This Row],[ABR 1 (5 days pre-n.e.)]] -Table1[[#This Row],[DOB]]</f>
        <v>308</v>
      </c>
      <c r="M17" s="4">
        <f>Table1[[#This Row],[ABR 2 (Day 5 of n.e.)]] - Table1[[#This Row],[DOB]]</f>
        <v>318</v>
      </c>
      <c r="N17" s="4">
        <f>Table1[[#This Row],[ABR 3 (Day 20 of n.e.)]] - Table1[[#This Row],[DOB]]</f>
        <v>333</v>
      </c>
      <c r="O17" s="4">
        <f xml:space="preserve"> Table1[[#This Row],[ABR 4 (Day 5 post-n.e.)]] -Table1[[#This Row],[DOB]]</f>
        <v>358</v>
      </c>
      <c r="P17" s="4">
        <f>Table1[[#This Row],[ABR 5 (Day 20 post-n.e.)]] -Table1[[#This Row],[DOB]]</f>
        <v>373</v>
      </c>
    </row>
    <row r="18" spans="1:16" x14ac:dyDescent="0.4">
      <c r="A18" s="4" t="s">
        <v>36</v>
      </c>
      <c r="B18" s="4" t="s">
        <v>33</v>
      </c>
      <c r="C18" s="4" t="s">
        <v>22</v>
      </c>
      <c r="D18" s="5">
        <v>44828</v>
      </c>
      <c r="E18" s="4">
        <f ca="1">TODAY()-Table1[[#This Row],[DOB]]</f>
        <v>1311</v>
      </c>
      <c r="F18" s="1" t="s">
        <v>18</v>
      </c>
      <c r="G18" s="5">
        <v>45162</v>
      </c>
      <c r="H18" s="5">
        <f>Table1[[#This Row],[ABR 1 (5 days pre-n.e.)]] + 10</f>
        <v>45172</v>
      </c>
      <c r="I18" s="5">
        <f>Table1[[#This Row],[ABR 2 (Day 5 of n.e.)]] + 15</f>
        <v>45187</v>
      </c>
      <c r="J18" s="5">
        <f>Table1[[#This Row],[ABR 3 (Day 20 of n.e.)]] + 25</f>
        <v>45212</v>
      </c>
      <c r="K18" s="5">
        <f>Table1[[#This Row],[ABR 4 (Day 5 post-n.e.)]] + 15</f>
        <v>45227</v>
      </c>
      <c r="L18" s="4">
        <f>Table1[[#This Row],[ABR 1 (5 days pre-n.e.)]] -Table1[[#This Row],[DOB]]</f>
        <v>334</v>
      </c>
      <c r="M18" s="4">
        <f>Table1[[#This Row],[ABR 2 (Day 5 of n.e.)]] - Table1[[#This Row],[DOB]]</f>
        <v>344</v>
      </c>
      <c r="N18" s="4">
        <f>Table1[[#This Row],[ABR 3 (Day 20 of n.e.)]] - Table1[[#This Row],[DOB]]</f>
        <v>359</v>
      </c>
      <c r="O18" s="4">
        <f xml:space="preserve"> Table1[[#This Row],[ABR 4 (Day 5 post-n.e.)]] -Table1[[#This Row],[DOB]]</f>
        <v>384</v>
      </c>
      <c r="P18" s="4">
        <f>Table1[[#This Row],[ABR 5 (Day 20 post-n.e.)]] -Table1[[#This Row],[DOB]]</f>
        <v>399</v>
      </c>
    </row>
    <row r="19" spans="1:16" x14ac:dyDescent="0.4">
      <c r="A19" s="4" t="s">
        <v>37</v>
      </c>
      <c r="B19" s="4" t="s">
        <v>33</v>
      </c>
      <c r="C19" s="4" t="s">
        <v>22</v>
      </c>
      <c r="D19" s="5">
        <v>44828</v>
      </c>
      <c r="E19" s="4">
        <f ca="1">TODAY()-Table1[[#This Row],[DOB]]</f>
        <v>1311</v>
      </c>
      <c r="F19" s="1" t="s">
        <v>18</v>
      </c>
      <c r="G19" s="5">
        <v>45162</v>
      </c>
      <c r="H19" s="5">
        <f>Table1[[#This Row],[ABR 1 (5 days pre-n.e.)]] + 10</f>
        <v>45172</v>
      </c>
      <c r="I19" s="5">
        <f>Table1[[#This Row],[ABR 2 (Day 5 of n.e.)]] + 15</f>
        <v>45187</v>
      </c>
      <c r="J19" s="5">
        <f>Table1[[#This Row],[ABR 3 (Day 20 of n.e.)]] + 25</f>
        <v>45212</v>
      </c>
      <c r="K19" s="5">
        <f>Table1[[#This Row],[ABR 4 (Day 5 post-n.e.)]] + 15</f>
        <v>45227</v>
      </c>
      <c r="L19" s="4">
        <f>Table1[[#This Row],[ABR 1 (5 days pre-n.e.)]] -Table1[[#This Row],[DOB]]</f>
        <v>334</v>
      </c>
      <c r="M19" s="4">
        <f>Table1[[#This Row],[ABR 2 (Day 5 of n.e.)]] - Table1[[#This Row],[DOB]]</f>
        <v>344</v>
      </c>
      <c r="N19" s="4">
        <f>Table1[[#This Row],[ABR 3 (Day 20 of n.e.)]] - Table1[[#This Row],[DOB]]</f>
        <v>359</v>
      </c>
      <c r="O19" s="4">
        <f xml:space="preserve"> Table1[[#This Row],[ABR 4 (Day 5 post-n.e.)]] -Table1[[#This Row],[DOB]]</f>
        <v>384</v>
      </c>
      <c r="P19" s="4">
        <f>Table1[[#This Row],[ABR 5 (Day 20 post-n.e.)]] -Table1[[#This Row],[DOB]]</f>
        <v>399</v>
      </c>
    </row>
    <row r="20" spans="1:16" x14ac:dyDescent="0.4">
      <c r="A20" s="4" t="s">
        <v>38</v>
      </c>
      <c r="B20" s="4" t="s">
        <v>33</v>
      </c>
      <c r="C20" s="4" t="s">
        <v>22</v>
      </c>
      <c r="D20" s="5">
        <v>44828</v>
      </c>
      <c r="E20" s="4">
        <f ca="1">TODAY()-Table1[[#This Row],[DOB]]</f>
        <v>1311</v>
      </c>
      <c r="F20" s="1" t="s">
        <v>18</v>
      </c>
      <c r="G20" s="5">
        <v>45162</v>
      </c>
      <c r="H20" s="5">
        <f>Table1[[#This Row],[ABR 1 (5 days pre-n.e.)]] + 10</f>
        <v>45172</v>
      </c>
      <c r="I20" s="5">
        <f>Table1[[#This Row],[ABR 2 (Day 5 of n.e.)]] + 15</f>
        <v>45187</v>
      </c>
      <c r="J20" s="5">
        <f>Table1[[#This Row],[ABR 3 (Day 20 of n.e.)]] + 25</f>
        <v>45212</v>
      </c>
      <c r="K20" s="5">
        <f>Table1[[#This Row],[ABR 4 (Day 5 post-n.e.)]] + 15</f>
        <v>45227</v>
      </c>
      <c r="L20" s="4">
        <f>Table1[[#This Row],[ABR 1 (5 days pre-n.e.)]] -Table1[[#This Row],[DOB]]</f>
        <v>334</v>
      </c>
      <c r="M20" s="4">
        <f>Table1[[#This Row],[ABR 2 (Day 5 of n.e.)]] - Table1[[#This Row],[DOB]]</f>
        <v>344</v>
      </c>
      <c r="N20" s="4">
        <f>Table1[[#This Row],[ABR 3 (Day 20 of n.e.)]] - Table1[[#This Row],[DOB]]</f>
        <v>359</v>
      </c>
      <c r="O20" s="4">
        <f xml:space="preserve"> Table1[[#This Row],[ABR 4 (Day 5 post-n.e.)]] -Table1[[#This Row],[DOB]]</f>
        <v>384</v>
      </c>
      <c r="P20" s="4">
        <f>Table1[[#This Row],[ABR 5 (Day 20 post-n.e.)]] -Table1[[#This Row],[DOB]]</f>
        <v>399</v>
      </c>
    </row>
    <row r="21" spans="1:16" x14ac:dyDescent="0.4">
      <c r="A21" s="4" t="s">
        <v>39</v>
      </c>
      <c r="B21" s="4" t="s">
        <v>33</v>
      </c>
      <c r="C21" s="4" t="s">
        <v>17</v>
      </c>
      <c r="D21" s="5">
        <v>44874</v>
      </c>
      <c r="E21" s="4">
        <f ca="1">TODAY()-Table1[[#This Row],[DOB]]</f>
        <v>1265</v>
      </c>
      <c r="F21" s="1" t="s">
        <v>26</v>
      </c>
      <c r="G21" s="5">
        <v>45189</v>
      </c>
      <c r="H21" s="5">
        <f>Table1[[#This Row],[ABR 1 (5 days pre-n.e.)]] + 10</f>
        <v>45199</v>
      </c>
      <c r="I21" s="5">
        <f>Table1[[#This Row],[ABR 2 (Day 5 of n.e.)]] + 15</f>
        <v>45214</v>
      </c>
      <c r="J21" s="5">
        <f>Table1[[#This Row],[ABR 3 (Day 20 of n.e.)]] + 25</f>
        <v>45239</v>
      </c>
      <c r="K21" s="5">
        <f>Table1[[#This Row],[ABR 4 (Day 5 post-n.e.)]] + 15</f>
        <v>45254</v>
      </c>
      <c r="L21" s="4">
        <f>Table1[[#This Row],[ABR 1 (5 days pre-n.e.)]] -Table1[[#This Row],[DOB]]</f>
        <v>315</v>
      </c>
      <c r="M21" s="4">
        <f>Table1[[#This Row],[ABR 2 (Day 5 of n.e.)]] - Table1[[#This Row],[DOB]]</f>
        <v>325</v>
      </c>
      <c r="N21" s="4">
        <f>Table1[[#This Row],[ABR 3 (Day 20 of n.e.)]] - Table1[[#This Row],[DOB]]</f>
        <v>340</v>
      </c>
      <c r="O21" s="4">
        <f xml:space="preserve"> Table1[[#This Row],[ABR 4 (Day 5 post-n.e.)]] -Table1[[#This Row],[DOB]]</f>
        <v>365</v>
      </c>
      <c r="P21" s="4">
        <f>Table1[[#This Row],[ABR 5 (Day 20 post-n.e.)]] -Table1[[#This Row],[DOB]]</f>
        <v>380</v>
      </c>
    </row>
    <row r="22" spans="1:16" x14ac:dyDescent="0.4">
      <c r="A22" s="4" t="s">
        <v>40</v>
      </c>
      <c r="B22" s="4" t="s">
        <v>33</v>
      </c>
      <c r="C22" s="4" t="s">
        <v>17</v>
      </c>
      <c r="D22" s="5">
        <v>44874</v>
      </c>
      <c r="E22" s="4">
        <f ca="1">TODAY()-Table1[[#This Row],[DOB]]</f>
        <v>1265</v>
      </c>
      <c r="F22" s="1" t="s">
        <v>26</v>
      </c>
      <c r="G22" s="5">
        <v>45189</v>
      </c>
      <c r="H22" s="5">
        <f>Table1[[#This Row],[ABR 1 (5 days pre-n.e.)]] + 10</f>
        <v>45199</v>
      </c>
      <c r="I22" s="5">
        <f>Table1[[#This Row],[ABR 2 (Day 5 of n.e.)]] + 15</f>
        <v>45214</v>
      </c>
      <c r="J22" s="5">
        <f>Table1[[#This Row],[ABR 3 (Day 20 of n.e.)]] + 25</f>
        <v>45239</v>
      </c>
      <c r="K22" s="5">
        <f>Table1[[#This Row],[ABR 4 (Day 5 post-n.e.)]] + 15</f>
        <v>45254</v>
      </c>
      <c r="L22" s="4">
        <f>Table1[[#This Row],[ABR 1 (5 days pre-n.e.)]] -Table1[[#This Row],[DOB]]</f>
        <v>315</v>
      </c>
      <c r="M22" s="4">
        <f>Table1[[#This Row],[ABR 2 (Day 5 of n.e.)]] - Table1[[#This Row],[DOB]]</f>
        <v>325</v>
      </c>
      <c r="N22" s="4">
        <f>Table1[[#This Row],[ABR 3 (Day 20 of n.e.)]] - Table1[[#This Row],[DOB]]</f>
        <v>340</v>
      </c>
      <c r="O22" s="4">
        <f xml:space="preserve"> Table1[[#This Row],[ABR 4 (Day 5 post-n.e.)]] -Table1[[#This Row],[DOB]]</f>
        <v>365</v>
      </c>
      <c r="P22" s="4">
        <f>Table1[[#This Row],[ABR 5 (Day 20 post-n.e.)]] -Table1[[#This Row],[DOB]]</f>
        <v>380</v>
      </c>
    </row>
    <row r="23" spans="1:16" x14ac:dyDescent="0.4">
      <c r="A23" s="4" t="s">
        <v>41</v>
      </c>
      <c r="B23" s="4" t="s">
        <v>33</v>
      </c>
      <c r="C23" s="4" t="s">
        <v>17</v>
      </c>
      <c r="D23" s="5">
        <v>44874</v>
      </c>
      <c r="E23" s="4">
        <f ca="1">TODAY()-Table1[[#This Row],[DOB]]</f>
        <v>1265</v>
      </c>
      <c r="F23" s="1" t="s">
        <v>26</v>
      </c>
      <c r="G23" s="5">
        <v>45189</v>
      </c>
      <c r="H23" s="5">
        <f>Table1[[#This Row],[ABR 1 (5 days pre-n.e.)]] + 10</f>
        <v>45199</v>
      </c>
      <c r="I23" s="5">
        <f>Table1[[#This Row],[ABR 2 (Day 5 of n.e.)]] + 15</f>
        <v>45214</v>
      </c>
      <c r="J23" s="5">
        <f>Table1[[#This Row],[ABR 3 (Day 20 of n.e.)]] + 25</f>
        <v>45239</v>
      </c>
      <c r="K23" s="5">
        <f>Table1[[#This Row],[ABR 4 (Day 5 post-n.e.)]] + 15</f>
        <v>45254</v>
      </c>
      <c r="L23" s="4">
        <f>Table1[[#This Row],[ABR 1 (5 days pre-n.e.)]] -Table1[[#This Row],[DOB]]</f>
        <v>315</v>
      </c>
      <c r="M23" s="4">
        <f>Table1[[#This Row],[ABR 2 (Day 5 of n.e.)]] - Table1[[#This Row],[DOB]]</f>
        <v>325</v>
      </c>
      <c r="N23" s="4">
        <f>Table1[[#This Row],[ABR 3 (Day 20 of n.e.)]] - Table1[[#This Row],[DOB]]</f>
        <v>340</v>
      </c>
      <c r="O23" s="4">
        <f xml:space="preserve"> Table1[[#This Row],[ABR 4 (Day 5 post-n.e.)]] -Table1[[#This Row],[DOB]]</f>
        <v>365</v>
      </c>
      <c r="P23" s="4">
        <f>Table1[[#This Row],[ABR 5 (Day 20 post-n.e.)]] -Table1[[#This Row],[DOB]]</f>
        <v>380</v>
      </c>
    </row>
    <row r="24" spans="1:16" x14ac:dyDescent="0.4">
      <c r="A24" s="4" t="s">
        <v>42</v>
      </c>
      <c r="B24" s="4" t="s">
        <v>33</v>
      </c>
      <c r="C24" s="4" t="s">
        <v>22</v>
      </c>
      <c r="D24" s="5">
        <v>44874</v>
      </c>
      <c r="E24" s="4">
        <f ca="1">TODAY()-Table1[[#This Row],[DOB]]</f>
        <v>1265</v>
      </c>
      <c r="F24" s="1" t="s">
        <v>26</v>
      </c>
      <c r="G24" s="5">
        <v>45196</v>
      </c>
      <c r="H24" s="5">
        <f>Table1[[#This Row],[ABR 1 (5 days pre-n.e.)]] + 10</f>
        <v>45206</v>
      </c>
      <c r="I24" s="5">
        <f>Table1[[#This Row],[ABR 2 (Day 5 of n.e.)]] + 15</f>
        <v>45221</v>
      </c>
      <c r="J24" s="5">
        <f>Table1[[#This Row],[ABR 3 (Day 20 of n.e.)]] + 25</f>
        <v>45246</v>
      </c>
      <c r="K24" s="5">
        <f>Table1[[#This Row],[ABR 4 (Day 5 post-n.e.)]] + 15</f>
        <v>45261</v>
      </c>
      <c r="L24" s="4">
        <f>Table1[[#This Row],[ABR 1 (5 days pre-n.e.)]] -Table1[[#This Row],[DOB]]</f>
        <v>322</v>
      </c>
      <c r="M24" s="4">
        <f>Table1[[#This Row],[ABR 2 (Day 5 of n.e.)]] - Table1[[#This Row],[DOB]]</f>
        <v>332</v>
      </c>
      <c r="N24" s="4">
        <f>Table1[[#This Row],[ABR 3 (Day 20 of n.e.)]] - Table1[[#This Row],[DOB]]</f>
        <v>347</v>
      </c>
      <c r="O24" s="4">
        <f xml:space="preserve"> Table1[[#This Row],[ABR 4 (Day 5 post-n.e.)]] -Table1[[#This Row],[DOB]]</f>
        <v>372</v>
      </c>
      <c r="P24" s="4">
        <f>Table1[[#This Row],[ABR 5 (Day 20 post-n.e.)]] -Table1[[#This Row],[DOB]]</f>
        <v>387</v>
      </c>
    </row>
    <row r="25" spans="1:16" x14ac:dyDescent="0.4">
      <c r="A25" s="4" t="s">
        <v>43</v>
      </c>
      <c r="B25" s="4" t="s">
        <v>33</v>
      </c>
      <c r="C25" s="4" t="s">
        <v>22</v>
      </c>
      <c r="D25" s="5">
        <v>44874</v>
      </c>
      <c r="E25" s="4">
        <f ca="1">TODAY()-Table1[[#This Row],[DOB]]</f>
        <v>1265</v>
      </c>
      <c r="F25" s="1" t="s">
        <v>26</v>
      </c>
      <c r="G25" s="5">
        <v>45196</v>
      </c>
      <c r="H25" s="5">
        <f>Table1[[#This Row],[ABR 1 (5 days pre-n.e.)]] + 10</f>
        <v>45206</v>
      </c>
      <c r="I25" s="5">
        <f>Table1[[#This Row],[ABR 2 (Day 5 of n.e.)]] + 15</f>
        <v>45221</v>
      </c>
      <c r="J25" s="5">
        <f>Table1[[#This Row],[ABR 3 (Day 20 of n.e.)]] + 25</f>
        <v>45246</v>
      </c>
      <c r="K25" s="5">
        <f>Table1[[#This Row],[ABR 4 (Day 5 post-n.e.)]] + 15</f>
        <v>45261</v>
      </c>
      <c r="L25" s="4">
        <f>Table1[[#This Row],[ABR 1 (5 days pre-n.e.)]] -Table1[[#This Row],[DOB]]</f>
        <v>322</v>
      </c>
      <c r="M25" s="4">
        <f>Table1[[#This Row],[ABR 2 (Day 5 of n.e.)]] - Table1[[#This Row],[DOB]]</f>
        <v>332</v>
      </c>
      <c r="N25" s="4">
        <f>Table1[[#This Row],[ABR 3 (Day 20 of n.e.)]] - Table1[[#This Row],[DOB]]</f>
        <v>347</v>
      </c>
      <c r="O25" s="4">
        <f xml:space="preserve"> Table1[[#This Row],[ABR 4 (Day 5 post-n.e.)]] -Table1[[#This Row],[DOB]]</f>
        <v>372</v>
      </c>
      <c r="P25" s="4">
        <f>Table1[[#This Row],[ABR 5 (Day 20 post-n.e.)]] -Table1[[#This Row],[DOB]]</f>
        <v>387</v>
      </c>
    </row>
    <row r="26" spans="1:16" x14ac:dyDescent="0.4">
      <c r="A26" s="4" t="s">
        <v>44</v>
      </c>
      <c r="B26" s="4" t="s">
        <v>33</v>
      </c>
      <c r="C26" s="4" t="s">
        <v>22</v>
      </c>
      <c r="D26" s="5">
        <v>44874</v>
      </c>
      <c r="E26" s="4">
        <f ca="1">TODAY()-Table1[[#This Row],[DOB]]</f>
        <v>1265</v>
      </c>
      <c r="F26" s="1" t="s">
        <v>26</v>
      </c>
      <c r="G26" s="5">
        <v>45196</v>
      </c>
      <c r="H26" s="5">
        <f>Table1[[#This Row],[ABR 1 (5 days pre-n.e.)]] + 10</f>
        <v>45206</v>
      </c>
      <c r="I26" s="5">
        <f>Table1[[#This Row],[ABR 2 (Day 5 of n.e.)]] + 15</f>
        <v>45221</v>
      </c>
      <c r="J26" s="5">
        <f>Table1[[#This Row],[ABR 3 (Day 20 of n.e.)]] + 25</f>
        <v>45246</v>
      </c>
      <c r="K26" s="5">
        <f>Table1[[#This Row],[ABR 4 (Day 5 post-n.e.)]] + 15</f>
        <v>45261</v>
      </c>
      <c r="L26" s="4">
        <f>Table1[[#This Row],[ABR 1 (5 days pre-n.e.)]] -Table1[[#This Row],[DOB]]</f>
        <v>322</v>
      </c>
      <c r="M26" s="4">
        <f>Table1[[#This Row],[ABR 2 (Day 5 of n.e.)]] - Table1[[#This Row],[DOB]]</f>
        <v>332</v>
      </c>
      <c r="N26" s="4">
        <f>Table1[[#This Row],[ABR 3 (Day 20 of n.e.)]] - Table1[[#This Row],[DOB]]</f>
        <v>347</v>
      </c>
      <c r="O26" s="4">
        <f xml:space="preserve"> Table1[[#This Row],[ABR 4 (Day 5 post-n.e.)]] -Table1[[#This Row],[DOB]]</f>
        <v>372</v>
      </c>
      <c r="P26" s="4">
        <f>Table1[[#This Row],[ABR 5 (Day 20 post-n.e.)]] -Table1[[#This Row],[DOB]]</f>
        <v>387</v>
      </c>
    </row>
    <row r="27" spans="1:16" x14ac:dyDescent="0.4">
      <c r="A27" s="4" t="s">
        <v>50</v>
      </c>
      <c r="B27" s="4" t="s">
        <v>16</v>
      </c>
      <c r="C27" s="4" t="s">
        <v>17</v>
      </c>
      <c r="D27" s="5">
        <v>44874</v>
      </c>
      <c r="E27" s="4">
        <f ca="1">TODAY()-Table1[[#This Row],[DOB]]</f>
        <v>1265</v>
      </c>
      <c r="F27" s="1" t="s">
        <v>18</v>
      </c>
      <c r="G27" s="5">
        <v>45224</v>
      </c>
      <c r="H27" s="5">
        <f>Table1[[#This Row],[ABR 1 (5 days pre-n.e.)]] + 10</f>
        <v>45234</v>
      </c>
      <c r="I27" s="5">
        <f>Table1[[#This Row],[ABR 2 (Day 5 of n.e.)]] + 15</f>
        <v>45249</v>
      </c>
      <c r="J27" s="5">
        <f>Table1[[#This Row],[ABR 3 (Day 20 of n.e.)]] + 25</f>
        <v>45274</v>
      </c>
      <c r="K27" s="5">
        <f>Table1[[#This Row],[ABR 4 (Day 5 post-n.e.)]] + 15</f>
        <v>45289</v>
      </c>
      <c r="L27" s="4">
        <f>Table1[[#This Row],[ABR 1 (5 days pre-n.e.)]] -Table1[[#This Row],[DOB]]</f>
        <v>350</v>
      </c>
      <c r="M27" s="4">
        <f>Table1[[#This Row],[ABR 2 (Day 5 of n.e.)]] - Table1[[#This Row],[DOB]]</f>
        <v>360</v>
      </c>
      <c r="N27" s="4">
        <f>Table1[[#This Row],[ABR 3 (Day 20 of n.e.)]] - Table1[[#This Row],[DOB]]</f>
        <v>375</v>
      </c>
      <c r="O27" s="4">
        <f xml:space="preserve"> Table1[[#This Row],[ABR 4 (Day 5 post-n.e.)]] -Table1[[#This Row],[DOB]]</f>
        <v>400</v>
      </c>
      <c r="P27" s="4">
        <f>Table1[[#This Row],[ABR 5 (Day 20 post-n.e.)]] -Table1[[#This Row],[DOB]]</f>
        <v>415</v>
      </c>
    </row>
    <row r="28" spans="1:16" x14ac:dyDescent="0.4">
      <c r="A28" s="4" t="s">
        <v>51</v>
      </c>
      <c r="B28" s="4" t="s">
        <v>16</v>
      </c>
      <c r="C28" s="4" t="s">
        <v>17</v>
      </c>
      <c r="D28" s="5">
        <v>44874</v>
      </c>
      <c r="E28" s="4">
        <f ca="1">TODAY()-Table1[[#This Row],[DOB]]</f>
        <v>1265</v>
      </c>
      <c r="F28" s="1" t="s">
        <v>18</v>
      </c>
      <c r="G28" s="5">
        <v>45224</v>
      </c>
      <c r="H28" s="5">
        <f>Table1[[#This Row],[ABR 1 (5 days pre-n.e.)]] + 10</f>
        <v>45234</v>
      </c>
      <c r="I28" s="5">
        <f>Table1[[#This Row],[ABR 2 (Day 5 of n.e.)]] + 15</f>
        <v>45249</v>
      </c>
      <c r="J28" s="5">
        <f>Table1[[#This Row],[ABR 3 (Day 20 of n.e.)]] + 25</f>
        <v>45274</v>
      </c>
      <c r="K28" s="5">
        <f>Table1[[#This Row],[ABR 4 (Day 5 post-n.e.)]] + 15</f>
        <v>45289</v>
      </c>
      <c r="L28" s="4">
        <f>Table1[[#This Row],[ABR 1 (5 days pre-n.e.)]] -Table1[[#This Row],[DOB]]</f>
        <v>350</v>
      </c>
      <c r="M28" s="4">
        <f>Table1[[#This Row],[ABR 2 (Day 5 of n.e.)]] - Table1[[#This Row],[DOB]]</f>
        <v>360</v>
      </c>
      <c r="N28" s="4">
        <f>Table1[[#This Row],[ABR 3 (Day 20 of n.e.)]] - Table1[[#This Row],[DOB]]</f>
        <v>375</v>
      </c>
      <c r="O28" s="4">
        <f xml:space="preserve"> Table1[[#This Row],[ABR 4 (Day 5 post-n.e.)]] -Table1[[#This Row],[DOB]]</f>
        <v>400</v>
      </c>
      <c r="P28" s="4">
        <f>Table1[[#This Row],[ABR 5 (Day 20 post-n.e.)]] -Table1[[#This Row],[DOB]]</f>
        <v>415</v>
      </c>
    </row>
    <row r="29" spans="1:16" x14ac:dyDescent="0.4">
      <c r="A29" s="4" t="s">
        <v>52</v>
      </c>
      <c r="B29" s="4" t="s">
        <v>16</v>
      </c>
      <c r="C29" s="4" t="s">
        <v>22</v>
      </c>
      <c r="D29" s="5">
        <v>44871</v>
      </c>
      <c r="E29" s="4">
        <f ca="1">TODAY()-Table1[[#This Row],[DOB]]</f>
        <v>1268</v>
      </c>
      <c r="F29" s="1" t="s">
        <v>18</v>
      </c>
      <c r="G29" s="5">
        <v>45225</v>
      </c>
      <c r="H29" s="5">
        <f>Table1[[#This Row],[ABR 1 (5 days pre-n.e.)]] + 10</f>
        <v>45235</v>
      </c>
      <c r="I29" s="5">
        <f>Table1[[#This Row],[ABR 2 (Day 5 of n.e.)]] + 15</f>
        <v>45250</v>
      </c>
      <c r="J29" s="5">
        <f>Table1[[#This Row],[ABR 3 (Day 20 of n.e.)]] + 25</f>
        <v>45275</v>
      </c>
      <c r="K29" s="5">
        <f>Table1[[#This Row],[ABR 4 (Day 5 post-n.e.)]] + 15</f>
        <v>45290</v>
      </c>
      <c r="L29" s="4">
        <f>Table1[[#This Row],[ABR 1 (5 days pre-n.e.)]] -Table1[[#This Row],[DOB]]</f>
        <v>354</v>
      </c>
      <c r="M29" s="4">
        <f>Table1[[#This Row],[ABR 2 (Day 5 of n.e.)]] - Table1[[#This Row],[DOB]]</f>
        <v>364</v>
      </c>
      <c r="N29" s="4">
        <f>Table1[[#This Row],[ABR 3 (Day 20 of n.e.)]] - Table1[[#This Row],[DOB]]</f>
        <v>379</v>
      </c>
      <c r="O29" s="4">
        <f xml:space="preserve"> Table1[[#This Row],[ABR 4 (Day 5 post-n.e.)]] -Table1[[#This Row],[DOB]]</f>
        <v>404</v>
      </c>
      <c r="P29" s="4">
        <f>Table1[[#This Row],[ABR 5 (Day 20 post-n.e.)]] -Table1[[#This Row],[DOB]]</f>
        <v>419</v>
      </c>
    </row>
    <row r="30" spans="1:16" x14ac:dyDescent="0.4">
      <c r="A30" s="4" t="s">
        <v>53</v>
      </c>
      <c r="B30" s="4" t="s">
        <v>16</v>
      </c>
      <c r="C30" s="4" t="s">
        <v>22</v>
      </c>
      <c r="D30" s="5">
        <v>44871</v>
      </c>
      <c r="E30" s="4">
        <f ca="1">TODAY()-Table1[[#This Row],[DOB]]</f>
        <v>1268</v>
      </c>
      <c r="F30" s="1" t="s">
        <v>18</v>
      </c>
      <c r="G30" s="5">
        <v>45225</v>
      </c>
      <c r="H30" s="5">
        <f>Table1[[#This Row],[ABR 1 (5 days pre-n.e.)]] + 10</f>
        <v>45235</v>
      </c>
      <c r="I30" s="5">
        <f>Table1[[#This Row],[ABR 2 (Day 5 of n.e.)]] + 15</f>
        <v>45250</v>
      </c>
      <c r="J30" s="5">
        <f>Table1[[#This Row],[ABR 3 (Day 20 of n.e.)]] + 25</f>
        <v>45275</v>
      </c>
      <c r="K30" s="5">
        <f>Table1[[#This Row],[ABR 4 (Day 5 post-n.e.)]] + 15</f>
        <v>45290</v>
      </c>
      <c r="L30" s="4">
        <f>Table1[[#This Row],[ABR 1 (5 days pre-n.e.)]] -Table1[[#This Row],[DOB]]</f>
        <v>354</v>
      </c>
      <c r="M30" s="4">
        <f>Table1[[#This Row],[ABR 2 (Day 5 of n.e.)]] - Table1[[#This Row],[DOB]]</f>
        <v>364</v>
      </c>
      <c r="N30" s="4">
        <f>Table1[[#This Row],[ABR 3 (Day 20 of n.e.)]] - Table1[[#This Row],[DOB]]</f>
        <v>379</v>
      </c>
      <c r="O30" s="4">
        <f xml:space="preserve"> Table1[[#This Row],[ABR 4 (Day 5 post-n.e.)]] -Table1[[#This Row],[DOB]]</f>
        <v>404</v>
      </c>
      <c r="P30" s="4">
        <f>Table1[[#This Row],[ABR 5 (Day 20 post-n.e.)]] -Table1[[#This Row],[DOB]]</f>
        <v>419</v>
      </c>
    </row>
  </sheetData>
  <phoneticPr fontId="1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F869-93C4-48B3-915D-54F9047AB2FF}">
  <dimension ref="A1:I29"/>
  <sheetViews>
    <sheetView zoomScaleNormal="100" workbookViewId="0"/>
  </sheetViews>
  <sheetFormatPr defaultRowHeight="14.6" x14ac:dyDescent="0.4"/>
  <cols>
    <col min="1" max="1" width="12.23046875" customWidth="1"/>
    <col min="2" max="2" width="9.69140625" bestFit="1" customWidth="1"/>
    <col min="3" max="3" width="9.84375" customWidth="1"/>
    <col min="4" max="4" width="10.23046875" customWidth="1"/>
    <col min="5" max="6" width="11.84375" customWidth="1"/>
    <col min="7" max="7" width="11.53515625" customWidth="1"/>
    <col min="8" max="8" width="11.69140625" style="2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45</v>
      </c>
      <c r="H1" s="3" t="s">
        <v>46</v>
      </c>
      <c r="I1" s="1" t="s">
        <v>47</v>
      </c>
    </row>
    <row r="2" spans="1:9" x14ac:dyDescent="0.4">
      <c r="A2" s="1" t="s">
        <v>15</v>
      </c>
      <c r="B2" s="4" t="s">
        <v>16</v>
      </c>
      <c r="C2" s="4" t="s">
        <v>17</v>
      </c>
      <c r="D2" s="5">
        <v>44803</v>
      </c>
      <c r="E2" s="4">
        <f ca="1" xml:space="preserve"> TODAY() - Table4[[#This Row],[DOB]]</f>
        <v>1336</v>
      </c>
      <c r="F2" s="4" t="s">
        <v>48</v>
      </c>
      <c r="G2" s="5">
        <f>ABRs!G3 + 5</f>
        <v>45109</v>
      </c>
      <c r="H2" s="5">
        <f>Table4[[#This Row],[NE Start]] + 40</f>
        <v>45149</v>
      </c>
      <c r="I2" s="4">
        <v>1.1000000000000001</v>
      </c>
    </row>
    <row r="3" spans="1:9" x14ac:dyDescent="0.4">
      <c r="A3" s="1" t="s">
        <v>19</v>
      </c>
      <c r="B3" s="4" t="s">
        <v>16</v>
      </c>
      <c r="C3" s="4" t="s">
        <v>17</v>
      </c>
      <c r="D3" s="5">
        <v>44803</v>
      </c>
      <c r="E3" s="4">
        <f ca="1" xml:space="preserve"> TODAY() - Table4[[#This Row],[DOB]]</f>
        <v>1336</v>
      </c>
      <c r="F3" s="4" t="s">
        <v>48</v>
      </c>
      <c r="G3" s="5">
        <f>ABRs!G4 + 5</f>
        <v>45109</v>
      </c>
      <c r="H3" s="5">
        <f>Table4[[#This Row],[NE Start]] + 40</f>
        <v>45149</v>
      </c>
      <c r="I3" s="4">
        <v>1.1000000000000001</v>
      </c>
    </row>
    <row r="4" spans="1:9" x14ac:dyDescent="0.4">
      <c r="A4" s="1" t="s">
        <v>20</v>
      </c>
      <c r="B4" s="4" t="s">
        <v>16</v>
      </c>
      <c r="C4" s="4" t="s">
        <v>17</v>
      </c>
      <c r="D4" s="5">
        <v>44803</v>
      </c>
      <c r="E4" s="4">
        <f ca="1" xml:space="preserve"> TODAY() - Table4[[#This Row],[DOB]]</f>
        <v>1336</v>
      </c>
      <c r="F4" s="4" t="s">
        <v>48</v>
      </c>
      <c r="G4" s="5">
        <f>ABRs!G5 + 5</f>
        <v>45113</v>
      </c>
      <c r="H4" s="5">
        <f>Table4[[#This Row],[NE Start]] + 40</f>
        <v>45153</v>
      </c>
      <c r="I4" s="4">
        <v>1.1000000000000001</v>
      </c>
    </row>
    <row r="5" spans="1:9" x14ac:dyDescent="0.4">
      <c r="A5" s="1" t="s">
        <v>21</v>
      </c>
      <c r="B5" s="4" t="s">
        <v>16</v>
      </c>
      <c r="C5" s="4" t="s">
        <v>22</v>
      </c>
      <c r="D5" s="5">
        <v>44803</v>
      </c>
      <c r="E5" s="4">
        <f ca="1" xml:space="preserve"> TODAY() - Table4[[#This Row],[DOB]]</f>
        <v>1336</v>
      </c>
      <c r="F5" s="4" t="s">
        <v>48</v>
      </c>
      <c r="G5" s="5">
        <f>ABRs!G6 + 5</f>
        <v>45119</v>
      </c>
      <c r="H5" s="5">
        <f>Table4[[#This Row],[NE Start]] + 40</f>
        <v>45159</v>
      </c>
      <c r="I5" s="4">
        <v>1.2</v>
      </c>
    </row>
    <row r="6" spans="1:9" x14ac:dyDescent="0.4">
      <c r="A6" s="1" t="s">
        <v>23</v>
      </c>
      <c r="B6" s="4" t="s">
        <v>16</v>
      </c>
      <c r="C6" s="4" t="s">
        <v>22</v>
      </c>
      <c r="D6" s="5">
        <v>44803</v>
      </c>
      <c r="E6" s="4">
        <f ca="1" xml:space="preserve"> TODAY() - Table4[[#This Row],[DOB]]</f>
        <v>1336</v>
      </c>
      <c r="F6" s="4" t="s">
        <v>48</v>
      </c>
      <c r="G6" s="5">
        <f>ABRs!G7 + 5</f>
        <v>45119</v>
      </c>
      <c r="H6" s="5">
        <f>Table4[[#This Row],[NE Start]] + 40</f>
        <v>45159</v>
      </c>
      <c r="I6" s="4">
        <v>2.1</v>
      </c>
    </row>
    <row r="7" spans="1:9" x14ac:dyDescent="0.4">
      <c r="A7" s="1" t="s">
        <v>24</v>
      </c>
      <c r="B7" s="4" t="s">
        <v>16</v>
      </c>
      <c r="C7" s="4" t="s">
        <v>22</v>
      </c>
      <c r="D7" s="5">
        <v>44803</v>
      </c>
      <c r="E7" s="4">
        <f ca="1" xml:space="preserve"> TODAY() - Table4[[#This Row],[DOB]]</f>
        <v>1336</v>
      </c>
      <c r="F7" s="4" t="s">
        <v>48</v>
      </c>
      <c r="G7" s="5">
        <f>ABRs!G8 + 5</f>
        <v>45119</v>
      </c>
      <c r="H7" s="5">
        <f>Table4[[#This Row],[NE Start]] + 40</f>
        <v>45159</v>
      </c>
      <c r="I7" s="4">
        <v>1.2</v>
      </c>
    </row>
    <row r="8" spans="1:9" x14ac:dyDescent="0.4">
      <c r="A8" s="1" t="s">
        <v>25</v>
      </c>
      <c r="B8" s="4" t="s">
        <v>16</v>
      </c>
      <c r="C8" s="4" t="s">
        <v>17</v>
      </c>
      <c r="D8" s="5">
        <v>44817</v>
      </c>
      <c r="E8" s="4">
        <f ca="1" xml:space="preserve"> TODAY() - Table4[[#This Row],[DOB]]</f>
        <v>1322</v>
      </c>
      <c r="F8" s="4" t="s">
        <v>49</v>
      </c>
      <c r="G8" s="5">
        <f>ABRs!G9 + 5</f>
        <v>45125</v>
      </c>
      <c r="H8" s="5">
        <f>Table4[[#This Row],[NE Start]] + 40</f>
        <v>45165</v>
      </c>
      <c r="I8" s="4">
        <v>4.0999999999999996</v>
      </c>
    </row>
    <row r="9" spans="1:9" x14ac:dyDescent="0.4">
      <c r="A9" s="1" t="s">
        <v>27</v>
      </c>
      <c r="B9" s="4" t="s">
        <v>16</v>
      </c>
      <c r="C9" s="4" t="s">
        <v>17</v>
      </c>
      <c r="D9" s="5">
        <v>44817</v>
      </c>
      <c r="E9" s="4">
        <f ca="1" xml:space="preserve"> TODAY() - Table4[[#This Row],[DOB]]</f>
        <v>1322</v>
      </c>
      <c r="F9" s="4" t="s">
        <v>49</v>
      </c>
      <c r="G9" s="5">
        <f>ABRs!G10 + 5</f>
        <v>45125</v>
      </c>
      <c r="H9" s="5">
        <f>Table4[[#This Row],[NE Start]] + 40</f>
        <v>45165</v>
      </c>
      <c r="I9" s="4">
        <v>4.0999999999999996</v>
      </c>
    </row>
    <row r="10" spans="1:9" x14ac:dyDescent="0.4">
      <c r="A10" s="1" t="s">
        <v>28</v>
      </c>
      <c r="B10" s="4" t="s">
        <v>16</v>
      </c>
      <c r="C10" s="4" t="s">
        <v>17</v>
      </c>
      <c r="D10" s="5">
        <v>44817</v>
      </c>
      <c r="E10" s="4">
        <f ca="1" xml:space="preserve"> TODAY() - Table4[[#This Row],[DOB]]</f>
        <v>1322</v>
      </c>
      <c r="F10" s="4" t="s">
        <v>49</v>
      </c>
      <c r="G10" s="5">
        <f>ABRs!G11 + 5</f>
        <v>45125</v>
      </c>
      <c r="H10" s="5">
        <f>Table4[[#This Row],[NE Start]] + 40</f>
        <v>45165</v>
      </c>
      <c r="I10" s="4">
        <v>4.0999999999999996</v>
      </c>
    </row>
    <row r="11" spans="1:9" x14ac:dyDescent="0.4">
      <c r="A11" s="1" t="s">
        <v>29</v>
      </c>
      <c r="B11" s="4" t="s">
        <v>16</v>
      </c>
      <c r="C11" s="4" t="s">
        <v>22</v>
      </c>
      <c r="D11" s="5">
        <v>44817</v>
      </c>
      <c r="E11" s="4">
        <f ca="1" xml:space="preserve"> TODAY() - Table4[[#This Row],[DOB]]</f>
        <v>1322</v>
      </c>
      <c r="F11" s="4" t="s">
        <v>49</v>
      </c>
      <c r="G11" s="5">
        <f>ABRs!G12 + 5</f>
        <v>45133</v>
      </c>
      <c r="H11" s="5">
        <f>Table4[[#This Row],[NE Start]] + 40</f>
        <v>45173</v>
      </c>
      <c r="I11" s="4">
        <v>4.2</v>
      </c>
    </row>
    <row r="12" spans="1:9" x14ac:dyDescent="0.4">
      <c r="A12" s="1" t="s">
        <v>30</v>
      </c>
      <c r="B12" s="4" t="s">
        <v>16</v>
      </c>
      <c r="C12" s="4" t="s">
        <v>22</v>
      </c>
      <c r="D12" s="5">
        <v>44817</v>
      </c>
      <c r="E12" s="4">
        <f ca="1" xml:space="preserve"> TODAY() - Table4[[#This Row],[DOB]]</f>
        <v>1322</v>
      </c>
      <c r="F12" s="4" t="s">
        <v>49</v>
      </c>
      <c r="G12" s="5">
        <f>ABRs!G13 + 5</f>
        <v>45133</v>
      </c>
      <c r="H12" s="5">
        <f>Table4[[#This Row],[NE Start]] + 40</f>
        <v>45173</v>
      </c>
      <c r="I12" s="4">
        <v>4.2</v>
      </c>
    </row>
    <row r="13" spans="1:9" x14ac:dyDescent="0.4">
      <c r="A13" s="1" t="s">
        <v>31</v>
      </c>
      <c r="B13" s="4" t="s">
        <v>16</v>
      </c>
      <c r="C13" s="4" t="s">
        <v>22</v>
      </c>
      <c r="D13" s="5">
        <v>44817</v>
      </c>
      <c r="E13" s="4">
        <f ca="1" xml:space="preserve"> TODAY() - Table4[[#This Row],[DOB]]</f>
        <v>1322</v>
      </c>
      <c r="F13" s="4" t="s">
        <v>49</v>
      </c>
      <c r="G13" s="5">
        <f>ABRs!G14 + 5</f>
        <v>45137</v>
      </c>
      <c r="H13" s="5">
        <f>Table4[[#This Row],[NE Start]] + 40</f>
        <v>45177</v>
      </c>
      <c r="I13" s="4">
        <v>4.2</v>
      </c>
    </row>
    <row r="14" spans="1:9" x14ac:dyDescent="0.4">
      <c r="A14" s="1" t="s">
        <v>32</v>
      </c>
      <c r="B14" s="4" t="s">
        <v>33</v>
      </c>
      <c r="C14" s="4" t="s">
        <v>17</v>
      </c>
      <c r="D14" s="5">
        <v>44828</v>
      </c>
      <c r="E14" s="4">
        <f ca="1" xml:space="preserve"> TODAY() - Table4[[#This Row],[DOB]]</f>
        <v>1311</v>
      </c>
      <c r="F14" s="4" t="s">
        <v>48</v>
      </c>
      <c r="G14" s="5">
        <f>ABRs!G15 + 5</f>
        <v>45141</v>
      </c>
      <c r="H14" s="5">
        <f>Table4[[#This Row],[NE Start]] + 40</f>
        <v>45181</v>
      </c>
      <c r="I14" s="4">
        <v>2.2000000000000002</v>
      </c>
    </row>
    <row r="15" spans="1:9" x14ac:dyDescent="0.4">
      <c r="A15" s="1" t="s">
        <v>34</v>
      </c>
      <c r="B15" s="4" t="s">
        <v>33</v>
      </c>
      <c r="C15" s="4" t="s">
        <v>17</v>
      </c>
      <c r="D15" s="5">
        <v>44828</v>
      </c>
      <c r="E15" s="4">
        <f ca="1" xml:space="preserve"> TODAY() - Table4[[#This Row],[DOB]]</f>
        <v>1311</v>
      </c>
      <c r="F15" s="4" t="s">
        <v>48</v>
      </c>
      <c r="G15" s="5">
        <f>ABRs!G16 + 5</f>
        <v>45141</v>
      </c>
      <c r="H15" s="5">
        <f>Table4[[#This Row],[NE Start]] + 40</f>
        <v>45181</v>
      </c>
      <c r="I15" s="4">
        <v>2.2000000000000002</v>
      </c>
    </row>
    <row r="16" spans="1:9" x14ac:dyDescent="0.4">
      <c r="A16" s="1" t="s">
        <v>35</v>
      </c>
      <c r="B16" s="4" t="s">
        <v>33</v>
      </c>
      <c r="C16" s="4" t="s">
        <v>17</v>
      </c>
      <c r="D16" s="5">
        <v>44828</v>
      </c>
      <c r="E16" s="4">
        <f ca="1" xml:space="preserve"> TODAY() - Table4[[#This Row],[DOB]]</f>
        <v>1311</v>
      </c>
      <c r="F16" s="4" t="s">
        <v>48</v>
      </c>
      <c r="G16" s="5">
        <f>ABRs!G17 + 5</f>
        <v>45141</v>
      </c>
      <c r="H16" s="5">
        <f>Table4[[#This Row],[NE Start]] + 40</f>
        <v>45181</v>
      </c>
      <c r="I16" s="4">
        <v>2.2000000000000002</v>
      </c>
    </row>
    <row r="17" spans="1:9" x14ac:dyDescent="0.4">
      <c r="A17" s="1" t="s">
        <v>36</v>
      </c>
      <c r="B17" s="4" t="s">
        <v>33</v>
      </c>
      <c r="C17" s="4" t="s">
        <v>22</v>
      </c>
      <c r="D17" s="5">
        <v>44828</v>
      </c>
      <c r="E17" s="4">
        <f ca="1" xml:space="preserve"> TODAY() - Table4[[#This Row],[DOB]]</f>
        <v>1311</v>
      </c>
      <c r="F17" s="4" t="s">
        <v>48</v>
      </c>
      <c r="G17" s="5">
        <f>ABRs!G18 + 5</f>
        <v>45167</v>
      </c>
      <c r="H17" s="5">
        <f>Table4[[#This Row],[NE Start]] + 40</f>
        <v>45207</v>
      </c>
      <c r="I17" s="4">
        <v>1.2</v>
      </c>
    </row>
    <row r="18" spans="1:9" x14ac:dyDescent="0.4">
      <c r="A18" s="1" t="s">
        <v>37</v>
      </c>
      <c r="B18" s="4" t="s">
        <v>33</v>
      </c>
      <c r="C18" s="4" t="s">
        <v>22</v>
      </c>
      <c r="D18" s="5">
        <v>44828</v>
      </c>
      <c r="E18" s="4">
        <f ca="1" xml:space="preserve"> TODAY() - Table4[[#This Row],[DOB]]</f>
        <v>1311</v>
      </c>
      <c r="F18" s="4" t="s">
        <v>48</v>
      </c>
      <c r="G18" s="5">
        <f>ABRs!G19 + 5</f>
        <v>45167</v>
      </c>
      <c r="H18" s="5">
        <f>Table4[[#This Row],[NE Start]] + 40</f>
        <v>45207</v>
      </c>
      <c r="I18" s="4">
        <v>2.1</v>
      </c>
    </row>
    <row r="19" spans="1:9" x14ac:dyDescent="0.4">
      <c r="A19" s="1" t="s">
        <v>38</v>
      </c>
      <c r="B19" s="4" t="s">
        <v>33</v>
      </c>
      <c r="C19" s="4" t="s">
        <v>22</v>
      </c>
      <c r="D19" s="5">
        <v>44828</v>
      </c>
      <c r="E19" s="4">
        <f ca="1" xml:space="preserve"> TODAY() - Table4[[#This Row],[DOB]]</f>
        <v>1311</v>
      </c>
      <c r="F19" s="4" t="s">
        <v>48</v>
      </c>
      <c r="G19" s="5">
        <f>ABRs!G20 + 5</f>
        <v>45167</v>
      </c>
      <c r="H19" s="5">
        <f>Table4[[#This Row],[NE Start]] + 40</f>
        <v>45207</v>
      </c>
      <c r="I19" s="4">
        <v>1.2</v>
      </c>
    </row>
    <row r="20" spans="1:9" x14ac:dyDescent="0.4">
      <c r="A20" s="4" t="s">
        <v>39</v>
      </c>
      <c r="B20" s="4" t="s">
        <v>33</v>
      </c>
      <c r="C20" s="4" t="s">
        <v>17</v>
      </c>
      <c r="D20" s="5">
        <v>44874</v>
      </c>
      <c r="E20" s="4">
        <f ca="1" xml:space="preserve"> TODAY() - Table4[[#This Row],[DOB]]</f>
        <v>1265</v>
      </c>
      <c r="F20" s="4" t="s">
        <v>49</v>
      </c>
      <c r="G20" s="3">
        <f>ABRs!G21 + 5</f>
        <v>45194</v>
      </c>
      <c r="H20" s="5">
        <f>Table4[[#This Row],[NE Start]] + 40</f>
        <v>45234</v>
      </c>
      <c r="I20" s="4">
        <v>4.0999999999999996</v>
      </c>
    </row>
    <row r="21" spans="1:9" x14ac:dyDescent="0.4">
      <c r="A21" s="4" t="s">
        <v>40</v>
      </c>
      <c r="B21" s="4" t="s">
        <v>33</v>
      </c>
      <c r="C21" s="4" t="s">
        <v>17</v>
      </c>
      <c r="D21" s="5">
        <v>44874</v>
      </c>
      <c r="E21" s="4">
        <f ca="1" xml:space="preserve"> TODAY() - Table4[[#This Row],[DOB]]</f>
        <v>1265</v>
      </c>
      <c r="F21" s="4" t="s">
        <v>49</v>
      </c>
      <c r="G21" s="3">
        <f>ABRs!G22 + 5</f>
        <v>45194</v>
      </c>
      <c r="H21" s="5">
        <f>Table4[[#This Row],[NE Start]] + 40</f>
        <v>45234</v>
      </c>
      <c r="I21" s="4">
        <v>4.0999999999999996</v>
      </c>
    </row>
    <row r="22" spans="1:9" x14ac:dyDescent="0.4">
      <c r="A22" s="4" t="s">
        <v>41</v>
      </c>
      <c r="B22" s="4" t="s">
        <v>33</v>
      </c>
      <c r="C22" s="4" t="s">
        <v>17</v>
      </c>
      <c r="D22" s="5">
        <v>44874</v>
      </c>
      <c r="E22" s="4">
        <f ca="1" xml:space="preserve"> TODAY() - Table4[[#This Row],[DOB]]</f>
        <v>1265</v>
      </c>
      <c r="F22" s="4" t="s">
        <v>49</v>
      </c>
      <c r="G22" s="3">
        <f>ABRs!G23 + 5</f>
        <v>45194</v>
      </c>
      <c r="H22" s="5">
        <f>Table4[[#This Row],[NE Start]] + 40</f>
        <v>45234</v>
      </c>
      <c r="I22" s="4">
        <v>4.0999999999999996</v>
      </c>
    </row>
    <row r="23" spans="1:9" x14ac:dyDescent="0.4">
      <c r="A23" s="4" t="s">
        <v>42</v>
      </c>
      <c r="B23" s="4" t="s">
        <v>33</v>
      </c>
      <c r="C23" s="4" t="s">
        <v>22</v>
      </c>
      <c r="D23" s="5">
        <v>44874</v>
      </c>
      <c r="E23" s="4">
        <f ca="1" xml:space="preserve"> TODAY() - Table4[[#This Row],[DOB]]</f>
        <v>1265</v>
      </c>
      <c r="F23" s="4" t="s">
        <v>49</v>
      </c>
      <c r="G23" s="3">
        <f>ABRs!G24 + 5</f>
        <v>45201</v>
      </c>
      <c r="H23" s="5">
        <f>Table4[[#This Row],[NE Start]] + 40</f>
        <v>45241</v>
      </c>
      <c r="I23" s="4">
        <v>4.2</v>
      </c>
    </row>
    <row r="24" spans="1:9" x14ac:dyDescent="0.4">
      <c r="A24" s="4" t="s">
        <v>43</v>
      </c>
      <c r="B24" s="4" t="s">
        <v>33</v>
      </c>
      <c r="C24" s="4" t="s">
        <v>22</v>
      </c>
      <c r="D24" s="5">
        <v>44874</v>
      </c>
      <c r="E24" s="4">
        <f ca="1" xml:space="preserve"> TODAY() - Table4[[#This Row],[DOB]]</f>
        <v>1265</v>
      </c>
      <c r="F24" s="4" t="s">
        <v>49</v>
      </c>
      <c r="G24" s="3">
        <f>ABRs!G25 + 5</f>
        <v>45201</v>
      </c>
      <c r="H24" s="5">
        <f>Table4[[#This Row],[NE Start]] + 40</f>
        <v>45241</v>
      </c>
      <c r="I24" s="4">
        <v>4.2</v>
      </c>
    </row>
    <row r="25" spans="1:9" x14ac:dyDescent="0.4">
      <c r="A25" s="4" t="s">
        <v>44</v>
      </c>
      <c r="B25" s="4" t="s">
        <v>33</v>
      </c>
      <c r="C25" s="4" t="s">
        <v>22</v>
      </c>
      <c r="D25" s="5">
        <v>44874</v>
      </c>
      <c r="E25" s="4">
        <f ca="1" xml:space="preserve"> TODAY() - Table4[[#This Row],[DOB]]</f>
        <v>1265</v>
      </c>
      <c r="F25" s="4" t="s">
        <v>49</v>
      </c>
      <c r="G25" s="3">
        <f>ABRs!G26 + 5</f>
        <v>45201</v>
      </c>
      <c r="H25" s="5">
        <f>Table4[[#This Row],[NE Start]] + 40</f>
        <v>45241</v>
      </c>
      <c r="I25" s="4">
        <v>4.2</v>
      </c>
    </row>
    <row r="26" spans="1:9" x14ac:dyDescent="0.4">
      <c r="A26" s="4" t="s">
        <v>50</v>
      </c>
      <c r="B26" s="4" t="s">
        <v>16</v>
      </c>
      <c r="C26" s="4" t="s">
        <v>17</v>
      </c>
      <c r="D26" s="5">
        <v>44874</v>
      </c>
      <c r="E26" s="4">
        <f ca="1" xml:space="preserve"> TODAY() - Table4[[#This Row],[DOB]]</f>
        <v>1265</v>
      </c>
      <c r="F26" s="4" t="s">
        <v>48</v>
      </c>
      <c r="G26" s="3">
        <f>ABRs!G27 + 5</f>
        <v>45229</v>
      </c>
      <c r="H26" s="5">
        <f>Table4[[#This Row],[NE Start]] + 40</f>
        <v>45269</v>
      </c>
      <c r="I26" s="4">
        <v>1.1000000000000001</v>
      </c>
    </row>
    <row r="27" spans="1:9" x14ac:dyDescent="0.4">
      <c r="A27" s="4" t="s">
        <v>51</v>
      </c>
      <c r="B27" s="4" t="s">
        <v>16</v>
      </c>
      <c r="C27" s="4" t="s">
        <v>17</v>
      </c>
      <c r="D27" s="5">
        <v>44874</v>
      </c>
      <c r="E27" s="4">
        <f ca="1" xml:space="preserve"> TODAY() - Table4[[#This Row],[DOB]]</f>
        <v>1265</v>
      </c>
      <c r="F27" s="4" t="s">
        <v>48</v>
      </c>
      <c r="G27" s="3">
        <f>ABRs!G28 + 5</f>
        <v>45229</v>
      </c>
      <c r="H27" s="5">
        <f>Table4[[#This Row],[NE Start]] + 40</f>
        <v>45269</v>
      </c>
      <c r="I27" s="4">
        <v>1.1000000000000001</v>
      </c>
    </row>
    <row r="28" spans="1:9" x14ac:dyDescent="0.4">
      <c r="A28" s="4" t="s">
        <v>52</v>
      </c>
      <c r="B28" s="4" t="s">
        <v>16</v>
      </c>
      <c r="C28" s="4" t="s">
        <v>22</v>
      </c>
      <c r="D28" s="5">
        <v>44871</v>
      </c>
      <c r="E28" s="4">
        <f ca="1" xml:space="preserve"> TODAY() - Table4[[#This Row],[DOB]]</f>
        <v>1268</v>
      </c>
      <c r="F28" s="4" t="s">
        <v>48</v>
      </c>
      <c r="G28" s="3">
        <f>ABRs!G29 + 5</f>
        <v>45230</v>
      </c>
      <c r="H28" s="5">
        <f>Table4[[#This Row],[NE Start]] + 40</f>
        <v>45270</v>
      </c>
      <c r="I28" s="4">
        <v>1.2</v>
      </c>
    </row>
    <row r="29" spans="1:9" x14ac:dyDescent="0.4">
      <c r="A29" s="4" t="s">
        <v>53</v>
      </c>
      <c r="B29" s="4" t="s">
        <v>16</v>
      </c>
      <c r="C29" s="4" t="s">
        <v>22</v>
      </c>
      <c r="D29" s="5">
        <v>44871</v>
      </c>
      <c r="E29" s="4">
        <f ca="1" xml:space="preserve"> TODAY() - Table4[[#This Row],[DOB]]</f>
        <v>1268</v>
      </c>
      <c r="F29" s="4" t="s">
        <v>48</v>
      </c>
      <c r="G29" s="3">
        <f>ABRs!G30 + 5</f>
        <v>45230</v>
      </c>
      <c r="H29" s="5">
        <f>Table4[[#This Row],[NE Start]] + 40</f>
        <v>45270</v>
      </c>
      <c r="I29" s="4">
        <v>2.1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2425-12A4-4130-AFC0-E31045723C5B}">
  <dimension ref="A1:JG25"/>
  <sheetViews>
    <sheetView zoomScale="90" zoomScaleNormal="90" workbookViewId="0">
      <selection activeCell="M1" sqref="M1"/>
    </sheetView>
  </sheetViews>
  <sheetFormatPr defaultRowHeight="14.6" x14ac:dyDescent="0.4"/>
  <cols>
    <col min="1" max="1" width="3.53515625" bestFit="1" customWidth="1"/>
    <col min="2" max="2" width="7.15234375" bestFit="1" customWidth="1"/>
    <col min="3" max="3" width="4.53515625" bestFit="1" customWidth="1"/>
    <col min="4" max="4" width="8" bestFit="1" customWidth="1"/>
    <col min="5" max="5" width="7.53515625" bestFit="1" customWidth="1"/>
    <col min="6" max="6" width="10.84375" bestFit="1" customWidth="1"/>
    <col min="7" max="7" width="5" bestFit="1" customWidth="1"/>
    <col min="8" max="8" width="7.23046875" bestFit="1" customWidth="1"/>
    <col min="11" max="11" width="12.3828125" bestFit="1" customWidth="1"/>
    <col min="13" max="13" width="7.765625" bestFit="1" customWidth="1"/>
    <col min="14" max="14" width="8.4609375" bestFit="1" customWidth="1"/>
    <col min="15" max="15" width="10.61328125" bestFit="1" customWidth="1"/>
    <col min="16" max="16" width="9.84375" bestFit="1" customWidth="1"/>
    <col min="17" max="17" width="11.69140625" bestFit="1" customWidth="1"/>
    <col min="18" max="18" width="12.3828125" bestFit="1" customWidth="1"/>
    <col min="19" max="19" width="9.61328125" bestFit="1" customWidth="1"/>
    <col min="20" max="20" width="10.07421875" bestFit="1" customWidth="1"/>
    <col min="21" max="21" width="8.69140625" bestFit="1" customWidth="1"/>
    <col min="22" max="22" width="9.4609375" bestFit="1" customWidth="1"/>
    <col min="23" max="30" width="8.4609375" bestFit="1" customWidth="1"/>
    <col min="31" max="31" width="7.84375" bestFit="1" customWidth="1"/>
    <col min="32" max="33" width="8.4609375" bestFit="1" customWidth="1"/>
    <col min="34" max="41" width="7.84375" bestFit="1" customWidth="1"/>
    <col min="42" max="47" width="7.4609375" bestFit="1" customWidth="1"/>
    <col min="48" max="52" width="8.4609375" bestFit="1" customWidth="1"/>
    <col min="53" max="68" width="7.4609375" bestFit="1" customWidth="1"/>
    <col min="69" max="75" width="7.84375" bestFit="1" customWidth="1"/>
    <col min="76" max="79" width="7.4609375" bestFit="1" customWidth="1"/>
    <col min="80" max="82" width="7.84375" bestFit="1" customWidth="1"/>
    <col min="83" max="83" width="8.4609375" bestFit="1" customWidth="1"/>
    <col min="84" max="84" width="7.84375" bestFit="1" customWidth="1"/>
    <col min="85" max="90" width="7.4609375" bestFit="1" customWidth="1"/>
    <col min="91" max="91" width="8.4609375" bestFit="1" customWidth="1"/>
    <col min="92" max="92" width="7.4609375" bestFit="1" customWidth="1"/>
    <col min="93" max="94" width="8.4609375" bestFit="1" customWidth="1"/>
    <col min="95" max="95" width="7.4609375" bestFit="1" customWidth="1"/>
    <col min="96" max="96" width="8.4609375" bestFit="1" customWidth="1"/>
    <col min="97" max="97" width="7.4609375" bestFit="1" customWidth="1"/>
    <col min="98" max="110" width="7.84375" bestFit="1" customWidth="1"/>
    <col min="111" max="111" width="7.4609375" bestFit="1" customWidth="1"/>
    <col min="112" max="112" width="8.4609375" bestFit="1" customWidth="1"/>
    <col min="113" max="113" width="7.4609375" bestFit="1" customWidth="1"/>
    <col min="114" max="118" width="8.4609375" bestFit="1" customWidth="1"/>
    <col min="119" max="119" width="7.4609375" bestFit="1" customWidth="1"/>
    <col min="120" max="123" width="8.4609375" bestFit="1" customWidth="1"/>
    <col min="124" max="125" width="7.84375" bestFit="1" customWidth="1"/>
    <col min="126" max="126" width="7.4609375" bestFit="1" customWidth="1"/>
    <col min="127" max="127" width="8.4609375" bestFit="1" customWidth="1"/>
    <col min="128" max="128" width="7.4609375" bestFit="1" customWidth="1"/>
    <col min="129" max="136" width="8.4609375" bestFit="1" customWidth="1"/>
    <col min="137" max="149" width="7.4609375" bestFit="1" customWidth="1"/>
    <col min="150" max="158" width="7.84375" bestFit="1" customWidth="1"/>
    <col min="159" max="161" width="7.4609375" bestFit="1" customWidth="1"/>
    <col min="162" max="162" width="8.4609375" bestFit="1" customWidth="1"/>
    <col min="163" max="163" width="7.4609375" bestFit="1" customWidth="1"/>
    <col min="164" max="170" width="8.4609375" bestFit="1" customWidth="1"/>
    <col min="171" max="174" width="7.4609375" bestFit="1" customWidth="1"/>
    <col min="175" max="183" width="7.84375" bestFit="1" customWidth="1"/>
    <col min="184" max="185" width="8.4609375" bestFit="1" customWidth="1"/>
    <col min="186" max="188" width="7.84375" bestFit="1" customWidth="1"/>
    <col min="189" max="194" width="7.4609375" bestFit="1" customWidth="1"/>
    <col min="195" max="212" width="8.4609375" bestFit="1" customWidth="1"/>
    <col min="213" max="224" width="7.4609375" bestFit="1" customWidth="1"/>
    <col min="225" max="226" width="8.4609375" bestFit="1" customWidth="1"/>
    <col min="227" max="227" width="7.4609375" bestFit="1" customWidth="1"/>
    <col min="228" max="230" width="8.4609375" bestFit="1" customWidth="1"/>
    <col min="231" max="235" width="7.84375" bestFit="1" customWidth="1"/>
    <col min="236" max="254" width="7.4609375" bestFit="1" customWidth="1"/>
    <col min="255" max="261" width="8.4609375" bestFit="1" customWidth="1"/>
    <col min="262" max="263" width="7.4609375" bestFit="1" customWidth="1"/>
    <col min="264" max="266" width="8.4609375" bestFit="1" customWidth="1"/>
    <col min="267" max="267" width="1.3046875" bestFit="1" customWidth="1"/>
  </cols>
  <sheetData>
    <row r="1" spans="1:267" x14ac:dyDescent="0.4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>
        <v>0</v>
      </c>
      <c r="X1">
        <v>1</v>
      </c>
      <c r="Y1">
        <v>2</v>
      </c>
      <c r="Z1">
        <v>3</v>
      </c>
      <c r="AA1">
        <v>4</v>
      </c>
      <c r="AB1">
        <v>5</v>
      </c>
      <c r="AC1">
        <v>6</v>
      </c>
      <c r="AD1">
        <v>7</v>
      </c>
      <c r="AE1">
        <v>8</v>
      </c>
      <c r="AF1">
        <v>9</v>
      </c>
      <c r="AG1">
        <v>10</v>
      </c>
      <c r="AH1">
        <v>11</v>
      </c>
      <c r="AI1">
        <v>12</v>
      </c>
      <c r="AJ1">
        <v>13</v>
      </c>
      <c r="AK1">
        <v>14</v>
      </c>
      <c r="AL1">
        <v>15</v>
      </c>
      <c r="AM1">
        <v>16</v>
      </c>
      <c r="AN1">
        <v>17</v>
      </c>
      <c r="AO1">
        <v>18</v>
      </c>
      <c r="AP1">
        <v>19</v>
      </c>
      <c r="AQ1">
        <v>20</v>
      </c>
      <c r="AR1">
        <v>21</v>
      </c>
      <c r="AS1">
        <v>22</v>
      </c>
      <c r="AT1">
        <v>23</v>
      </c>
      <c r="AU1">
        <v>24</v>
      </c>
      <c r="AV1">
        <v>25</v>
      </c>
      <c r="AW1">
        <v>26</v>
      </c>
      <c r="AX1">
        <v>27</v>
      </c>
      <c r="AY1">
        <v>28</v>
      </c>
      <c r="AZ1">
        <v>29</v>
      </c>
      <c r="BA1">
        <v>30</v>
      </c>
      <c r="BB1">
        <v>31</v>
      </c>
      <c r="BC1">
        <v>32</v>
      </c>
      <c r="BD1">
        <v>33</v>
      </c>
      <c r="BE1">
        <v>34</v>
      </c>
      <c r="BF1">
        <v>35</v>
      </c>
      <c r="BG1">
        <v>36</v>
      </c>
      <c r="BH1">
        <v>37</v>
      </c>
      <c r="BI1">
        <v>38</v>
      </c>
      <c r="BJ1">
        <v>39</v>
      </c>
      <c r="BK1">
        <v>40</v>
      </c>
      <c r="BL1">
        <v>41</v>
      </c>
      <c r="BM1">
        <v>42</v>
      </c>
      <c r="BN1">
        <v>43</v>
      </c>
      <c r="BO1">
        <v>44</v>
      </c>
      <c r="BP1">
        <v>45</v>
      </c>
      <c r="BQ1">
        <v>46</v>
      </c>
      <c r="BR1">
        <v>47</v>
      </c>
      <c r="BS1">
        <v>48</v>
      </c>
      <c r="BT1">
        <v>49</v>
      </c>
      <c r="BU1">
        <v>50</v>
      </c>
      <c r="BV1">
        <v>51</v>
      </c>
      <c r="BW1">
        <v>52</v>
      </c>
      <c r="BX1">
        <v>53</v>
      </c>
      <c r="BY1">
        <v>54</v>
      </c>
      <c r="BZ1">
        <v>55</v>
      </c>
      <c r="CA1">
        <v>56</v>
      </c>
      <c r="CB1">
        <v>57</v>
      </c>
      <c r="CC1">
        <v>58</v>
      </c>
      <c r="CD1">
        <v>59</v>
      </c>
      <c r="CE1">
        <v>60</v>
      </c>
      <c r="CF1">
        <v>61</v>
      </c>
      <c r="CG1">
        <v>62</v>
      </c>
      <c r="CH1">
        <v>63</v>
      </c>
      <c r="CI1">
        <v>64</v>
      </c>
      <c r="CJ1">
        <v>65</v>
      </c>
      <c r="CK1">
        <v>66</v>
      </c>
      <c r="CL1">
        <v>67</v>
      </c>
      <c r="CM1">
        <v>68</v>
      </c>
      <c r="CN1">
        <v>69</v>
      </c>
      <c r="CO1">
        <v>70</v>
      </c>
      <c r="CP1">
        <v>71</v>
      </c>
      <c r="CQ1">
        <v>72</v>
      </c>
      <c r="CR1">
        <v>73</v>
      </c>
      <c r="CS1">
        <v>74</v>
      </c>
      <c r="CT1">
        <v>75</v>
      </c>
      <c r="CU1">
        <v>76</v>
      </c>
      <c r="CV1">
        <v>77</v>
      </c>
      <c r="CW1">
        <v>78</v>
      </c>
      <c r="CX1">
        <v>79</v>
      </c>
      <c r="CY1">
        <v>80</v>
      </c>
      <c r="CZ1">
        <v>81</v>
      </c>
      <c r="DA1">
        <v>82</v>
      </c>
      <c r="DB1">
        <v>83</v>
      </c>
      <c r="DC1">
        <v>84</v>
      </c>
      <c r="DD1">
        <v>85</v>
      </c>
      <c r="DE1">
        <v>86</v>
      </c>
      <c r="DF1">
        <v>87</v>
      </c>
      <c r="DG1">
        <v>88</v>
      </c>
      <c r="DH1">
        <v>89</v>
      </c>
      <c r="DI1">
        <v>90</v>
      </c>
      <c r="DJ1">
        <v>91</v>
      </c>
      <c r="DK1">
        <v>92</v>
      </c>
      <c r="DL1">
        <v>93</v>
      </c>
      <c r="DM1">
        <v>94</v>
      </c>
      <c r="DN1">
        <v>95</v>
      </c>
      <c r="DO1">
        <v>96</v>
      </c>
      <c r="DP1">
        <v>97</v>
      </c>
      <c r="DQ1">
        <v>98</v>
      </c>
      <c r="DR1">
        <v>99</v>
      </c>
      <c r="DS1">
        <v>100</v>
      </c>
      <c r="DT1">
        <v>101</v>
      </c>
      <c r="DU1">
        <v>102</v>
      </c>
      <c r="DV1">
        <v>103</v>
      </c>
      <c r="DW1">
        <v>104</v>
      </c>
      <c r="DX1">
        <v>105</v>
      </c>
      <c r="DY1">
        <v>106</v>
      </c>
      <c r="DZ1">
        <v>107</v>
      </c>
      <c r="EA1">
        <v>108</v>
      </c>
      <c r="EB1">
        <v>109</v>
      </c>
      <c r="EC1">
        <v>110</v>
      </c>
      <c r="ED1">
        <v>111</v>
      </c>
      <c r="EE1">
        <v>112</v>
      </c>
      <c r="EF1">
        <v>113</v>
      </c>
      <c r="EG1">
        <v>114</v>
      </c>
      <c r="EH1">
        <v>115</v>
      </c>
      <c r="EI1">
        <v>116</v>
      </c>
      <c r="EJ1">
        <v>117</v>
      </c>
      <c r="EK1">
        <v>118</v>
      </c>
      <c r="EL1">
        <v>119</v>
      </c>
      <c r="EM1">
        <v>120</v>
      </c>
      <c r="EN1">
        <v>121</v>
      </c>
      <c r="EO1">
        <v>122</v>
      </c>
      <c r="EP1">
        <v>123</v>
      </c>
      <c r="EQ1">
        <v>124</v>
      </c>
      <c r="ER1">
        <v>125</v>
      </c>
      <c r="ES1">
        <v>126</v>
      </c>
      <c r="ET1">
        <v>127</v>
      </c>
      <c r="EU1">
        <v>128</v>
      </c>
      <c r="EV1">
        <v>129</v>
      </c>
      <c r="EW1">
        <v>130</v>
      </c>
      <c r="EX1">
        <v>131</v>
      </c>
      <c r="EY1">
        <v>132</v>
      </c>
      <c r="EZ1">
        <v>133</v>
      </c>
      <c r="FA1">
        <v>134</v>
      </c>
      <c r="FB1">
        <v>135</v>
      </c>
      <c r="FC1">
        <v>136</v>
      </c>
      <c r="FD1">
        <v>137</v>
      </c>
      <c r="FE1">
        <v>138</v>
      </c>
      <c r="FF1">
        <v>139</v>
      </c>
      <c r="FG1">
        <v>140</v>
      </c>
      <c r="FH1">
        <v>141</v>
      </c>
      <c r="FI1">
        <v>142</v>
      </c>
      <c r="FJ1">
        <v>143</v>
      </c>
      <c r="FK1">
        <v>144</v>
      </c>
      <c r="FL1">
        <v>145</v>
      </c>
      <c r="FM1">
        <v>146</v>
      </c>
      <c r="FN1">
        <v>147</v>
      </c>
      <c r="FO1">
        <v>148</v>
      </c>
      <c r="FP1">
        <v>149</v>
      </c>
      <c r="FQ1">
        <v>150</v>
      </c>
      <c r="FR1">
        <v>151</v>
      </c>
      <c r="FS1">
        <v>152</v>
      </c>
      <c r="FT1">
        <v>153</v>
      </c>
      <c r="FU1">
        <v>154</v>
      </c>
      <c r="FV1">
        <v>155</v>
      </c>
      <c r="FW1">
        <v>156</v>
      </c>
      <c r="FX1">
        <v>157</v>
      </c>
      <c r="FY1">
        <v>158</v>
      </c>
      <c r="FZ1">
        <v>159</v>
      </c>
      <c r="GA1">
        <v>160</v>
      </c>
      <c r="GB1">
        <v>161</v>
      </c>
      <c r="GC1">
        <v>162</v>
      </c>
      <c r="GD1">
        <v>163</v>
      </c>
      <c r="GE1">
        <v>164</v>
      </c>
      <c r="GF1">
        <v>165</v>
      </c>
      <c r="GG1">
        <v>166</v>
      </c>
      <c r="GH1">
        <v>167</v>
      </c>
      <c r="GI1">
        <v>168</v>
      </c>
      <c r="GJ1">
        <v>169</v>
      </c>
      <c r="GK1">
        <v>170</v>
      </c>
      <c r="GL1">
        <v>171</v>
      </c>
      <c r="GM1">
        <v>172</v>
      </c>
      <c r="GN1">
        <v>173</v>
      </c>
      <c r="GO1">
        <v>174</v>
      </c>
      <c r="GP1">
        <v>175</v>
      </c>
      <c r="GQ1">
        <v>176</v>
      </c>
      <c r="GR1">
        <v>177</v>
      </c>
      <c r="GS1">
        <v>178</v>
      </c>
      <c r="GT1">
        <v>179</v>
      </c>
      <c r="GU1">
        <v>180</v>
      </c>
      <c r="GV1">
        <v>181</v>
      </c>
      <c r="GW1">
        <v>182</v>
      </c>
      <c r="GX1">
        <v>183</v>
      </c>
      <c r="GY1">
        <v>184</v>
      </c>
      <c r="GZ1">
        <v>185</v>
      </c>
      <c r="HA1">
        <v>186</v>
      </c>
      <c r="HB1">
        <v>187</v>
      </c>
      <c r="HC1">
        <v>188</v>
      </c>
      <c r="HD1">
        <v>189</v>
      </c>
      <c r="HE1">
        <v>190</v>
      </c>
      <c r="HF1">
        <v>191</v>
      </c>
      <c r="HG1">
        <v>192</v>
      </c>
      <c r="HH1">
        <v>193</v>
      </c>
      <c r="HI1">
        <v>194</v>
      </c>
      <c r="HJ1">
        <v>195</v>
      </c>
      <c r="HK1">
        <v>196</v>
      </c>
      <c r="HL1">
        <v>197</v>
      </c>
      <c r="HM1">
        <v>198</v>
      </c>
      <c r="HN1">
        <v>199</v>
      </c>
      <c r="HO1">
        <v>200</v>
      </c>
      <c r="HP1">
        <v>201</v>
      </c>
      <c r="HQ1">
        <v>202</v>
      </c>
      <c r="HR1">
        <v>203</v>
      </c>
      <c r="HS1">
        <v>204</v>
      </c>
      <c r="HT1">
        <v>205</v>
      </c>
      <c r="HU1">
        <v>206</v>
      </c>
      <c r="HV1">
        <v>207</v>
      </c>
      <c r="HW1">
        <v>208</v>
      </c>
      <c r="HX1">
        <v>209</v>
      </c>
      <c r="HY1">
        <v>210</v>
      </c>
      <c r="HZ1">
        <v>211</v>
      </c>
      <c r="IA1">
        <v>212</v>
      </c>
      <c r="IB1">
        <v>213</v>
      </c>
      <c r="IC1">
        <v>214</v>
      </c>
      <c r="ID1">
        <v>215</v>
      </c>
      <c r="IE1">
        <v>216</v>
      </c>
      <c r="IF1">
        <v>217</v>
      </c>
      <c r="IG1">
        <v>218</v>
      </c>
      <c r="IH1">
        <v>219</v>
      </c>
      <c r="II1">
        <v>220</v>
      </c>
      <c r="IJ1">
        <v>221</v>
      </c>
      <c r="IK1">
        <v>222</v>
      </c>
      <c r="IL1">
        <v>223</v>
      </c>
      <c r="IM1">
        <v>224</v>
      </c>
      <c r="IN1">
        <v>225</v>
      </c>
      <c r="IO1">
        <v>226</v>
      </c>
      <c r="IP1">
        <v>227</v>
      </c>
      <c r="IQ1">
        <v>228</v>
      </c>
      <c r="IR1">
        <v>229</v>
      </c>
      <c r="IS1">
        <v>230</v>
      </c>
      <c r="IT1">
        <v>231</v>
      </c>
      <c r="IU1">
        <v>232</v>
      </c>
      <c r="IV1">
        <v>233</v>
      </c>
      <c r="IW1">
        <v>234</v>
      </c>
      <c r="IX1">
        <v>235</v>
      </c>
      <c r="IY1">
        <v>236</v>
      </c>
      <c r="IZ1">
        <v>237</v>
      </c>
      <c r="JA1">
        <v>238</v>
      </c>
      <c r="JB1">
        <v>239</v>
      </c>
      <c r="JC1">
        <v>240</v>
      </c>
      <c r="JD1">
        <v>241</v>
      </c>
      <c r="JE1">
        <v>242</v>
      </c>
      <c r="JF1">
        <v>243</v>
      </c>
      <c r="JG1" t="s">
        <v>77</v>
      </c>
    </row>
    <row r="2" spans="1:267" x14ac:dyDescent="0.4">
      <c r="A2">
        <v>1</v>
      </c>
      <c r="B2">
        <v>28</v>
      </c>
      <c r="C2">
        <v>1</v>
      </c>
      <c r="D2">
        <v>512</v>
      </c>
      <c r="E2">
        <v>0</v>
      </c>
      <c r="F2">
        <v>1691417405</v>
      </c>
      <c r="G2">
        <v>1</v>
      </c>
      <c r="H2" t="s">
        <v>27</v>
      </c>
      <c r="K2" t="s">
        <v>78</v>
      </c>
      <c r="M2">
        <v>4000</v>
      </c>
      <c r="N2">
        <v>90</v>
      </c>
      <c r="O2">
        <v>0</v>
      </c>
      <c r="P2">
        <v>90</v>
      </c>
      <c r="Q2">
        <v>5</v>
      </c>
      <c r="R2">
        <v>2</v>
      </c>
      <c r="S2">
        <v>40.96</v>
      </c>
      <c r="T2">
        <v>244</v>
      </c>
      <c r="U2">
        <v>0</v>
      </c>
      <c r="W2">
        <v>109.959</v>
      </c>
      <c r="X2">
        <v>137.10400000000001</v>
      </c>
      <c r="Y2">
        <v>153.89500000000001</v>
      </c>
      <c r="Z2">
        <v>157.268</v>
      </c>
      <c r="AA2">
        <v>147.905</v>
      </c>
      <c r="AB2">
        <v>129.08500000000001</v>
      </c>
      <c r="AC2">
        <v>104.877</v>
      </c>
      <c r="AD2">
        <v>78.855000000000004</v>
      </c>
      <c r="AE2">
        <v>53.709000000000003</v>
      </c>
      <c r="AF2">
        <v>31.411000000000001</v>
      </c>
      <c r="AG2">
        <v>13.33</v>
      </c>
      <c r="AH2">
        <v>9.8000000000000004E-2</v>
      </c>
      <c r="AI2">
        <v>-8.5960000000000001</v>
      </c>
      <c r="AJ2">
        <v>-13.976000000000001</v>
      </c>
      <c r="AK2">
        <v>-17.824999999999999</v>
      </c>
      <c r="AL2">
        <v>-21.954999999999998</v>
      </c>
      <c r="AM2">
        <v>-27.742999999999999</v>
      </c>
      <c r="AN2">
        <v>-35.850999999999999</v>
      </c>
      <c r="AO2">
        <v>-46.168999999999997</v>
      </c>
      <c r="AP2">
        <v>-57.921999999999997</v>
      </c>
      <c r="AQ2">
        <v>-69.900999999999996</v>
      </c>
      <c r="AR2">
        <v>-80.733000000000004</v>
      </c>
      <c r="AS2">
        <v>-89.135999999999996</v>
      </c>
      <c r="AT2">
        <v>-94.138999999999996</v>
      </c>
      <c r="AU2">
        <v>-95.266000000000005</v>
      </c>
      <c r="AV2">
        <v>-92.652000000000001</v>
      </c>
      <c r="AW2">
        <v>-86.994</v>
      </c>
      <c r="AX2">
        <v>-79.34</v>
      </c>
      <c r="AY2">
        <v>-70.846000000000004</v>
      </c>
      <c r="AZ2">
        <v>-62.688000000000002</v>
      </c>
      <c r="BA2">
        <v>-56.103000000000002</v>
      </c>
      <c r="BB2">
        <v>-52.292999999999999</v>
      </c>
      <c r="BC2">
        <v>-52.027000000000001</v>
      </c>
      <c r="BD2">
        <v>-55.095999999999997</v>
      </c>
      <c r="BE2">
        <v>-59.927</v>
      </c>
      <c r="BF2">
        <v>-63.651000000000003</v>
      </c>
      <c r="BG2">
        <v>-62.781999999999996</v>
      </c>
      <c r="BH2">
        <v>-54.472000000000001</v>
      </c>
      <c r="BI2">
        <v>-38.012999999999998</v>
      </c>
      <c r="BJ2">
        <v>-15.726000000000001</v>
      </c>
      <c r="BK2">
        <v>7.5789999999999997</v>
      </c>
      <c r="BL2">
        <v>26.678000000000001</v>
      </c>
      <c r="BM2">
        <v>38.564</v>
      </c>
      <c r="BN2">
        <v>44.06</v>
      </c>
      <c r="BO2">
        <v>47.33</v>
      </c>
      <c r="BP2">
        <v>53.314999999999998</v>
      </c>
      <c r="BQ2">
        <v>64.429000000000002</v>
      </c>
      <c r="BR2">
        <v>78.503</v>
      </c>
      <c r="BS2">
        <v>89.524000000000001</v>
      </c>
      <c r="BT2">
        <v>91.018000000000001</v>
      </c>
      <c r="BU2">
        <v>80.096000000000004</v>
      </c>
      <c r="BV2">
        <v>59.46</v>
      </c>
      <c r="BW2">
        <v>35.942999999999998</v>
      </c>
      <c r="BX2">
        <v>16.582000000000001</v>
      </c>
      <c r="BY2">
        <v>4.9669999999999996</v>
      </c>
      <c r="BZ2">
        <v>0.245</v>
      </c>
      <c r="CA2">
        <v>-0.97499999999999998</v>
      </c>
      <c r="CB2">
        <v>-1.639</v>
      </c>
      <c r="CC2">
        <v>-2.5289999999999999</v>
      </c>
      <c r="CD2">
        <v>-2.7290000000000001</v>
      </c>
      <c r="CE2">
        <v>-1.4219999999999999</v>
      </c>
      <c r="CF2">
        <v>0.74099999999999999</v>
      </c>
      <c r="CG2">
        <v>1.7290000000000001</v>
      </c>
      <c r="CH2">
        <v>-0.60099999999999998</v>
      </c>
      <c r="CI2">
        <v>-7.2610000000000001</v>
      </c>
      <c r="CJ2">
        <v>-17.803999999999998</v>
      </c>
      <c r="CK2">
        <v>-30.777999999999999</v>
      </c>
      <c r="CL2">
        <v>-44.290999999999997</v>
      </c>
      <c r="CM2">
        <v>-56.262</v>
      </c>
      <c r="CN2">
        <v>-64.641000000000005</v>
      </c>
      <c r="CO2">
        <v>-67.888000000000005</v>
      </c>
      <c r="CP2">
        <v>-65.501000000000005</v>
      </c>
      <c r="CQ2">
        <v>-58.152999999999999</v>
      </c>
      <c r="CR2">
        <v>-47.344000000000001</v>
      </c>
      <c r="CS2">
        <v>-34.954999999999998</v>
      </c>
      <c r="CT2">
        <v>-22.914000000000001</v>
      </c>
      <c r="CU2">
        <v>-12.872999999999999</v>
      </c>
      <c r="CV2">
        <v>-5.6420000000000003</v>
      </c>
      <c r="CW2">
        <v>-0.50900000000000001</v>
      </c>
      <c r="CX2">
        <v>5.0229999999999997</v>
      </c>
      <c r="CY2">
        <v>14.456</v>
      </c>
      <c r="CZ2">
        <v>30.466999999999999</v>
      </c>
      <c r="DA2">
        <v>53.006</v>
      </c>
      <c r="DB2">
        <v>78.760000000000005</v>
      </c>
      <c r="DC2">
        <v>102.596</v>
      </c>
      <c r="DD2">
        <v>120.05200000000001</v>
      </c>
      <c r="DE2">
        <v>129.108</v>
      </c>
      <c r="DF2">
        <v>130.154</v>
      </c>
      <c r="DG2">
        <v>124.68</v>
      </c>
      <c r="DH2">
        <v>114.047</v>
      </c>
      <c r="DI2">
        <v>99.278999999999996</v>
      </c>
      <c r="DJ2">
        <v>81.584999999999994</v>
      </c>
      <c r="DK2">
        <v>62.720999999999997</v>
      </c>
      <c r="DL2">
        <v>44.670999999999999</v>
      </c>
      <c r="DM2">
        <v>28.989000000000001</v>
      </c>
      <c r="DN2">
        <v>16.45</v>
      </c>
      <c r="DO2">
        <v>7.1970000000000001</v>
      </c>
      <c r="DP2">
        <v>1.0069999999999999</v>
      </c>
      <c r="DQ2">
        <v>-2.7330000000000001</v>
      </c>
      <c r="DR2">
        <v>-5.2990000000000004</v>
      </c>
      <c r="DS2">
        <v>-8.7390000000000008</v>
      </c>
      <c r="DT2">
        <v>-15.387</v>
      </c>
      <c r="DU2">
        <v>-26.73</v>
      </c>
      <c r="DV2">
        <v>-42.186999999999998</v>
      </c>
      <c r="DW2">
        <v>-58.698</v>
      </c>
      <c r="DX2">
        <v>-71.789000000000001</v>
      </c>
      <c r="DY2">
        <v>-77.768000000000001</v>
      </c>
      <c r="DZ2">
        <v>-75.81</v>
      </c>
      <c r="EA2">
        <v>-68.555000000000007</v>
      </c>
      <c r="EB2">
        <v>-60.726999999999997</v>
      </c>
      <c r="EC2">
        <v>-56.619</v>
      </c>
      <c r="ED2">
        <v>-57.98</v>
      </c>
      <c r="EE2">
        <v>-63.587000000000003</v>
      </c>
      <c r="EF2">
        <v>-70.590999999999994</v>
      </c>
      <c r="EG2">
        <v>-76.471000000000004</v>
      </c>
      <c r="EH2">
        <v>-80.153000000000006</v>
      </c>
      <c r="EI2">
        <v>-81.685000000000002</v>
      </c>
      <c r="EJ2">
        <v>-81.186000000000007</v>
      </c>
      <c r="EK2">
        <v>-78.230999999999995</v>
      </c>
      <c r="EL2">
        <v>-72.144000000000005</v>
      </c>
      <c r="EM2">
        <v>-62.703000000000003</v>
      </c>
      <c r="EN2">
        <v>-50.530999999999999</v>
      </c>
      <c r="EO2">
        <v>-36.978000000000002</v>
      </c>
      <c r="EP2">
        <v>-23.762</v>
      </c>
      <c r="EQ2">
        <v>-12.528</v>
      </c>
      <c r="ER2">
        <v>-4.2770000000000001</v>
      </c>
      <c r="ES2">
        <v>1.26</v>
      </c>
      <c r="ET2">
        <v>5.859</v>
      </c>
      <c r="EU2">
        <v>12.211</v>
      </c>
      <c r="EV2">
        <v>22.63</v>
      </c>
      <c r="EW2">
        <v>37.768999999999998</v>
      </c>
      <c r="EX2">
        <v>56.101999999999997</v>
      </c>
      <c r="EY2">
        <v>74.382000000000005</v>
      </c>
      <c r="EZ2">
        <v>88.754000000000005</v>
      </c>
      <c r="FA2">
        <v>95.941999999999993</v>
      </c>
      <c r="FB2">
        <v>94.096999999999994</v>
      </c>
      <c r="FC2">
        <v>83.195999999999998</v>
      </c>
      <c r="FD2">
        <v>65.099999999999994</v>
      </c>
      <c r="FE2">
        <v>43.356999999999999</v>
      </c>
      <c r="FF2">
        <v>22.614000000000001</v>
      </c>
      <c r="FG2">
        <v>7.4109999999999996</v>
      </c>
      <c r="FH2">
        <v>0.51800000000000002</v>
      </c>
      <c r="FI2">
        <v>1.5640000000000001</v>
      </c>
      <c r="FJ2">
        <v>6.9340000000000002</v>
      </c>
      <c r="FK2">
        <v>11.371</v>
      </c>
      <c r="FL2">
        <v>10.611000000000001</v>
      </c>
      <c r="FM2">
        <v>3.669</v>
      </c>
      <c r="FN2">
        <v>-6.5640000000000001</v>
      </c>
      <c r="FO2">
        <v>-14.863</v>
      </c>
      <c r="FP2">
        <v>-16.626999999999999</v>
      </c>
      <c r="FQ2">
        <v>-10.571</v>
      </c>
      <c r="FR2">
        <v>0.47199999999999998</v>
      </c>
      <c r="FS2">
        <v>11.202999999999999</v>
      </c>
      <c r="FT2">
        <v>16.858000000000001</v>
      </c>
      <c r="FU2">
        <v>15.667999999999999</v>
      </c>
      <c r="FV2">
        <v>9.3460000000000001</v>
      </c>
      <c r="FW2">
        <v>1.5680000000000001</v>
      </c>
      <c r="FX2">
        <v>-4.3120000000000003</v>
      </c>
      <c r="FY2">
        <v>-6.89</v>
      </c>
      <c r="FZ2">
        <v>-6.9640000000000004</v>
      </c>
      <c r="GA2">
        <v>-6.6829999999999998</v>
      </c>
      <c r="GB2">
        <v>-8.34</v>
      </c>
      <c r="GC2">
        <v>-13.327</v>
      </c>
      <c r="GD2">
        <v>-21.431000000000001</v>
      </c>
      <c r="GE2">
        <v>-30.600999999999999</v>
      </c>
      <c r="GF2">
        <v>-37.372999999999998</v>
      </c>
      <c r="GG2">
        <v>-38.042999999999999</v>
      </c>
      <c r="GH2">
        <v>-30.292000000000002</v>
      </c>
      <c r="GI2">
        <v>-14.555</v>
      </c>
      <c r="GJ2">
        <v>5.718</v>
      </c>
      <c r="GK2">
        <v>25.294</v>
      </c>
      <c r="GL2">
        <v>39.357999999999997</v>
      </c>
      <c r="GM2">
        <v>45.52</v>
      </c>
      <c r="GN2">
        <v>44.537999999999997</v>
      </c>
      <c r="GO2">
        <v>39.47</v>
      </c>
      <c r="GP2">
        <v>33.811999999999998</v>
      </c>
      <c r="GQ2">
        <v>29.65</v>
      </c>
      <c r="GR2">
        <v>26.798999999999999</v>
      </c>
      <c r="GS2">
        <v>23.417999999999999</v>
      </c>
      <c r="GT2">
        <v>17.672000000000001</v>
      </c>
      <c r="GU2">
        <v>9.3030000000000008</v>
      </c>
      <c r="GV2">
        <v>-6.0999999999999999E-2</v>
      </c>
      <c r="GW2">
        <v>-7.9640000000000004</v>
      </c>
      <c r="GX2">
        <v>-12.590999999999999</v>
      </c>
      <c r="GY2">
        <v>-13.497999999999999</v>
      </c>
      <c r="GZ2">
        <v>-11.327</v>
      </c>
      <c r="HA2">
        <v>-7.2069999999999999</v>
      </c>
      <c r="HB2">
        <v>-2.5219999999999998</v>
      </c>
      <c r="HC2">
        <v>0.94299999999999995</v>
      </c>
      <c r="HD2">
        <v>1.125</v>
      </c>
      <c r="HE2">
        <v>-3.5059999999999998</v>
      </c>
      <c r="HF2">
        <v>-12.804</v>
      </c>
      <c r="HG2">
        <v>-24.373999999999999</v>
      </c>
      <c r="HH2">
        <v>-34.284999999999997</v>
      </c>
      <c r="HI2">
        <v>-38.915999999999997</v>
      </c>
      <c r="HJ2">
        <v>-36.874000000000002</v>
      </c>
      <c r="HK2">
        <v>-29.774999999999999</v>
      </c>
      <c r="HL2">
        <v>-21.352</v>
      </c>
      <c r="HM2">
        <v>-15.507</v>
      </c>
      <c r="HN2">
        <v>-14.506</v>
      </c>
      <c r="HO2">
        <v>-18.216000000000001</v>
      </c>
      <c r="HP2">
        <v>-24.465</v>
      </c>
      <c r="HQ2">
        <v>-30.074999999999999</v>
      </c>
      <c r="HR2">
        <v>-32.075000000000003</v>
      </c>
      <c r="HS2">
        <v>-28.695</v>
      </c>
      <c r="HT2">
        <v>-19.844000000000001</v>
      </c>
      <c r="HU2">
        <v>-6.9489999999999998</v>
      </c>
      <c r="HV2">
        <v>7.6580000000000004</v>
      </c>
      <c r="HW2">
        <v>21.506</v>
      </c>
      <c r="HX2">
        <v>32.598999999999997</v>
      </c>
      <c r="HY2">
        <v>39.716000000000001</v>
      </c>
      <c r="HZ2">
        <v>42.3</v>
      </c>
      <c r="IA2">
        <v>40.168999999999997</v>
      </c>
      <c r="IB2">
        <v>33.406999999999996</v>
      </c>
      <c r="IC2">
        <v>22.715</v>
      </c>
      <c r="ID2">
        <v>9.8710000000000004</v>
      </c>
      <c r="IE2">
        <v>-2.2930000000000001</v>
      </c>
      <c r="IF2">
        <v>-10.766999999999999</v>
      </c>
      <c r="IG2">
        <v>-13.686</v>
      </c>
      <c r="IH2">
        <v>-11.324999999999999</v>
      </c>
      <c r="II2">
        <v>-6.0839999999999996</v>
      </c>
      <c r="IJ2">
        <v>-1.3740000000000001</v>
      </c>
      <c r="IK2">
        <v>7.1999999999999995E-2</v>
      </c>
      <c r="IL2">
        <v>-2.3919999999999999</v>
      </c>
      <c r="IM2">
        <v>-6.9740000000000002</v>
      </c>
      <c r="IN2">
        <v>-10.346</v>
      </c>
      <c r="IO2">
        <v>-9.3510000000000009</v>
      </c>
      <c r="IP2">
        <v>-2.5920000000000001</v>
      </c>
      <c r="IQ2">
        <v>8.93</v>
      </c>
      <c r="IR2">
        <v>22.372</v>
      </c>
      <c r="IS2">
        <v>34.28</v>
      </c>
      <c r="IT2">
        <v>41.561999999999998</v>
      </c>
      <c r="IU2">
        <v>41.749000000000002</v>
      </c>
      <c r="IV2">
        <v>32.959000000000003</v>
      </c>
      <c r="IW2">
        <v>14.494</v>
      </c>
      <c r="IX2">
        <v>-11.664999999999999</v>
      </c>
      <c r="IY2">
        <v>-39.447000000000003</v>
      </c>
      <c r="IZ2">
        <v>-59.262999999999998</v>
      </c>
      <c r="JA2">
        <v>-61.777000000000001</v>
      </c>
      <c r="JB2">
        <v>-43.792999999999999</v>
      </c>
      <c r="JC2">
        <v>-12.397</v>
      </c>
      <c r="JD2">
        <v>17.376000000000001</v>
      </c>
      <c r="JE2">
        <v>32.616999999999997</v>
      </c>
      <c r="JF2">
        <v>32.015000000000001</v>
      </c>
      <c r="JG2" t="s">
        <v>77</v>
      </c>
    </row>
    <row r="3" spans="1:267" x14ac:dyDescent="0.4">
      <c r="A3">
        <v>2</v>
      </c>
      <c r="B3">
        <v>29</v>
      </c>
      <c r="C3">
        <v>1</v>
      </c>
      <c r="D3">
        <v>512</v>
      </c>
      <c r="E3">
        <v>0</v>
      </c>
      <c r="F3">
        <v>1691417430</v>
      </c>
      <c r="G3">
        <v>1</v>
      </c>
      <c r="H3" t="s">
        <v>27</v>
      </c>
      <c r="K3" t="s">
        <v>78</v>
      </c>
      <c r="M3">
        <v>4000</v>
      </c>
      <c r="N3">
        <v>80</v>
      </c>
      <c r="O3">
        <v>10</v>
      </c>
      <c r="P3">
        <v>90</v>
      </c>
      <c r="Q3">
        <v>5</v>
      </c>
      <c r="R3">
        <v>2</v>
      </c>
      <c r="S3">
        <v>40.96</v>
      </c>
      <c r="T3">
        <v>244</v>
      </c>
      <c r="U3">
        <v>0</v>
      </c>
      <c r="W3">
        <v>79.850999999999999</v>
      </c>
      <c r="X3">
        <v>120.839</v>
      </c>
      <c r="Y3">
        <v>138.749</v>
      </c>
      <c r="Z3">
        <v>131.21199999999999</v>
      </c>
      <c r="AA3">
        <v>105.04300000000001</v>
      </c>
      <c r="AB3">
        <v>72.093000000000004</v>
      </c>
      <c r="AC3">
        <v>43.478999999999999</v>
      </c>
      <c r="AD3">
        <v>25.184000000000001</v>
      </c>
      <c r="AE3">
        <v>16.792999999999999</v>
      </c>
      <c r="AF3">
        <v>13.381</v>
      </c>
      <c r="AG3">
        <v>9.1270000000000007</v>
      </c>
      <c r="AH3">
        <v>0.59699999999999998</v>
      </c>
      <c r="AI3">
        <v>-11.955</v>
      </c>
      <c r="AJ3">
        <v>-25.553000000000001</v>
      </c>
      <c r="AK3">
        <v>-36.762999999999998</v>
      </c>
      <c r="AL3">
        <v>-43.606999999999999</v>
      </c>
      <c r="AM3">
        <v>-46.037999999999997</v>
      </c>
      <c r="AN3">
        <v>-45.034999999999997</v>
      </c>
      <c r="AO3">
        <v>-41.406999999999996</v>
      </c>
      <c r="AP3">
        <v>-35.314999999999998</v>
      </c>
      <c r="AQ3">
        <v>-26.628</v>
      </c>
      <c r="AR3">
        <v>-15.505000000000001</v>
      </c>
      <c r="AS3">
        <v>-2.661</v>
      </c>
      <c r="AT3">
        <v>10.680999999999999</v>
      </c>
      <c r="AU3">
        <v>22.917999999999999</v>
      </c>
      <c r="AV3">
        <v>32.250999999999998</v>
      </c>
      <c r="AW3">
        <v>37.078000000000003</v>
      </c>
      <c r="AX3">
        <v>36.615000000000002</v>
      </c>
      <c r="AY3">
        <v>31.489000000000001</v>
      </c>
      <c r="AZ3">
        <v>23.876999999999999</v>
      </c>
      <c r="BA3">
        <v>16.954999999999998</v>
      </c>
      <c r="BB3">
        <v>13.72</v>
      </c>
      <c r="BC3">
        <v>15.66</v>
      </c>
      <c r="BD3">
        <v>21.882999999999999</v>
      </c>
      <c r="BE3">
        <v>29.251000000000001</v>
      </c>
      <c r="BF3">
        <v>33.701999999999998</v>
      </c>
      <c r="BG3">
        <v>32.314</v>
      </c>
      <c r="BH3">
        <v>25.030999999999999</v>
      </c>
      <c r="BI3">
        <v>14.954000000000001</v>
      </c>
      <c r="BJ3">
        <v>6.8579999999999997</v>
      </c>
      <c r="BK3">
        <v>4.7009999999999996</v>
      </c>
      <c r="BL3">
        <v>9.4809999999999999</v>
      </c>
      <c r="BM3">
        <v>18.687999999999999</v>
      </c>
      <c r="BN3">
        <v>27.66</v>
      </c>
      <c r="BO3">
        <v>32.075000000000003</v>
      </c>
      <c r="BP3">
        <v>30.042999999999999</v>
      </c>
      <c r="BQ3">
        <v>22.584</v>
      </c>
      <c r="BR3">
        <v>12.423999999999999</v>
      </c>
      <c r="BS3">
        <v>2.1280000000000001</v>
      </c>
      <c r="BT3">
        <v>-7.1310000000000002</v>
      </c>
      <c r="BU3">
        <v>-15.5</v>
      </c>
      <c r="BV3">
        <v>-23.437999999999999</v>
      </c>
      <c r="BW3">
        <v>-30.777000000000001</v>
      </c>
      <c r="BX3">
        <v>-36.636000000000003</v>
      </c>
      <c r="BY3">
        <v>-40.094000000000001</v>
      </c>
      <c r="BZ3">
        <v>-40.841999999999999</v>
      </c>
      <c r="CA3">
        <v>-39.302999999999997</v>
      </c>
      <c r="CB3">
        <v>-36.35</v>
      </c>
      <c r="CC3">
        <v>-33.137999999999998</v>
      </c>
      <c r="CD3">
        <v>-31.097000000000001</v>
      </c>
      <c r="CE3">
        <v>-31.7</v>
      </c>
      <c r="CF3">
        <v>-35.759</v>
      </c>
      <c r="CG3">
        <v>-42.677</v>
      </c>
      <c r="CH3">
        <v>-50.359000000000002</v>
      </c>
      <c r="CI3">
        <v>-56.042000000000002</v>
      </c>
      <c r="CJ3">
        <v>-57.540999999999997</v>
      </c>
      <c r="CK3">
        <v>-54.134</v>
      </c>
      <c r="CL3">
        <v>-46.603000000000002</v>
      </c>
      <c r="CM3">
        <v>-36.517000000000003</v>
      </c>
      <c r="CN3">
        <v>-25.302</v>
      </c>
      <c r="CO3">
        <v>-13.725</v>
      </c>
      <c r="CP3">
        <v>-2.0990000000000002</v>
      </c>
      <c r="CQ3">
        <v>9.0630000000000006</v>
      </c>
      <c r="CR3">
        <v>18.532</v>
      </c>
      <c r="CS3">
        <v>24.532</v>
      </c>
      <c r="CT3">
        <v>25.632000000000001</v>
      </c>
      <c r="CU3">
        <v>21.847000000000001</v>
      </c>
      <c r="CV3">
        <v>15.169</v>
      </c>
      <c r="CW3">
        <v>9.0410000000000004</v>
      </c>
      <c r="CX3">
        <v>6.9770000000000003</v>
      </c>
      <c r="CY3">
        <v>11.031000000000001</v>
      </c>
      <c r="CZ3">
        <v>20.856000000000002</v>
      </c>
      <c r="DA3">
        <v>33.726999999999997</v>
      </c>
      <c r="DB3">
        <v>45.551000000000002</v>
      </c>
      <c r="DC3">
        <v>52.555</v>
      </c>
      <c r="DD3">
        <v>52.939</v>
      </c>
      <c r="DE3">
        <v>47.646000000000001</v>
      </c>
      <c r="DF3">
        <v>39.814</v>
      </c>
      <c r="DG3">
        <v>33.201999999999998</v>
      </c>
      <c r="DH3">
        <v>30.545000000000002</v>
      </c>
      <c r="DI3">
        <v>32.613999999999997</v>
      </c>
      <c r="DJ3">
        <v>38.124000000000002</v>
      </c>
      <c r="DK3">
        <v>44.276000000000003</v>
      </c>
      <c r="DL3">
        <v>47.738</v>
      </c>
      <c r="DM3">
        <v>45.976999999999997</v>
      </c>
      <c r="DN3">
        <v>38.433999999999997</v>
      </c>
      <c r="DO3">
        <v>26.734000000000002</v>
      </c>
      <c r="DP3">
        <v>13.617000000000001</v>
      </c>
      <c r="DQ3">
        <v>1.3240000000000001</v>
      </c>
      <c r="DR3">
        <v>-9.3360000000000003</v>
      </c>
      <c r="DS3">
        <v>-18.670999999999999</v>
      </c>
      <c r="DT3">
        <v>-27.154</v>
      </c>
      <c r="DU3">
        <v>-34.767000000000003</v>
      </c>
      <c r="DV3">
        <v>-41.048000000000002</v>
      </c>
      <c r="DW3">
        <v>-45.491</v>
      </c>
      <c r="DX3">
        <v>-47.74</v>
      </c>
      <c r="DY3">
        <v>-47.457999999999998</v>
      </c>
      <c r="DZ3">
        <v>-44.174999999999997</v>
      </c>
      <c r="EA3">
        <v>-37.457999999999998</v>
      </c>
      <c r="EB3">
        <v>-27.436</v>
      </c>
      <c r="EC3">
        <v>-15.406000000000001</v>
      </c>
      <c r="ED3">
        <v>-4.0279999999999996</v>
      </c>
      <c r="EE3">
        <v>3.2890000000000001</v>
      </c>
      <c r="EF3">
        <v>3.8010000000000002</v>
      </c>
      <c r="EG3">
        <v>-3.0030000000000001</v>
      </c>
      <c r="EH3">
        <v>-14.648999999999999</v>
      </c>
      <c r="EI3">
        <v>-26.391999999999999</v>
      </c>
      <c r="EJ3">
        <v>-33.222999999999999</v>
      </c>
      <c r="EK3">
        <v>-32.265999999999998</v>
      </c>
      <c r="EL3">
        <v>-24.332999999999998</v>
      </c>
      <c r="EM3">
        <v>-13.743</v>
      </c>
      <c r="EN3">
        <v>-6.383</v>
      </c>
      <c r="EO3">
        <v>-6.9340000000000002</v>
      </c>
      <c r="EP3">
        <v>-16.605</v>
      </c>
      <c r="EQ3">
        <v>-32.390999999999998</v>
      </c>
      <c r="ER3">
        <v>-48.167999999999999</v>
      </c>
      <c r="ES3">
        <v>-57.213000000000001</v>
      </c>
      <c r="ET3">
        <v>-55.106000000000002</v>
      </c>
      <c r="EU3">
        <v>-41.664999999999999</v>
      </c>
      <c r="EV3">
        <v>-20.922000000000001</v>
      </c>
      <c r="EW3">
        <v>0.90300000000000002</v>
      </c>
      <c r="EX3">
        <v>18.363</v>
      </c>
      <c r="EY3">
        <v>29.096</v>
      </c>
      <c r="EZ3">
        <v>34.308999999999997</v>
      </c>
      <c r="FA3">
        <v>37.415999999999997</v>
      </c>
      <c r="FB3">
        <v>41.848999999999997</v>
      </c>
      <c r="FC3">
        <v>49.353999999999999</v>
      </c>
      <c r="FD3">
        <v>59.488999999999997</v>
      </c>
      <c r="FE3">
        <v>70.224000000000004</v>
      </c>
      <c r="FF3">
        <v>79.037999999999997</v>
      </c>
      <c r="FG3">
        <v>83.929000000000002</v>
      </c>
      <c r="FH3">
        <v>84.036000000000001</v>
      </c>
      <c r="FI3">
        <v>79.793000000000006</v>
      </c>
      <c r="FJ3">
        <v>72.688000000000002</v>
      </c>
      <c r="FK3">
        <v>64.706000000000003</v>
      </c>
      <c r="FL3">
        <v>57.57</v>
      </c>
      <c r="FM3">
        <v>51.960999999999999</v>
      </c>
      <c r="FN3">
        <v>47.012</v>
      </c>
      <c r="FO3">
        <v>40.497999999999998</v>
      </c>
      <c r="FP3">
        <v>29.956</v>
      </c>
      <c r="FQ3">
        <v>14.388</v>
      </c>
      <c r="FR3">
        <v>-4.51</v>
      </c>
      <c r="FS3">
        <v>-22.812999999999999</v>
      </c>
      <c r="FT3">
        <v>-36.688000000000002</v>
      </c>
      <c r="FU3">
        <v>-45.052999999999997</v>
      </c>
      <c r="FV3">
        <v>-50.366</v>
      </c>
      <c r="FW3">
        <v>-56.7</v>
      </c>
      <c r="FX3">
        <v>-66.575999999999993</v>
      </c>
      <c r="FY3">
        <v>-79.141000000000005</v>
      </c>
      <c r="FZ3">
        <v>-91.081000000000003</v>
      </c>
      <c r="GA3">
        <v>-99.227999999999994</v>
      </c>
      <c r="GB3">
        <v>-102.514</v>
      </c>
      <c r="GC3">
        <v>-101.71599999999999</v>
      </c>
      <c r="GD3">
        <v>-97.561000000000007</v>
      </c>
      <c r="GE3">
        <v>-89.153000000000006</v>
      </c>
      <c r="GF3">
        <v>-74.295000000000002</v>
      </c>
      <c r="GG3">
        <v>-51.481999999999999</v>
      </c>
      <c r="GH3">
        <v>-21.919</v>
      </c>
      <c r="GI3">
        <v>10.066000000000001</v>
      </c>
      <c r="GJ3">
        <v>38.497999999999998</v>
      </c>
      <c r="GK3">
        <v>58.085999999999999</v>
      </c>
      <c r="GL3">
        <v>66.03</v>
      </c>
      <c r="GM3">
        <v>62.628999999999998</v>
      </c>
      <c r="GN3">
        <v>50.872</v>
      </c>
      <c r="GO3">
        <v>35.502000000000002</v>
      </c>
      <c r="GP3">
        <v>21.827000000000002</v>
      </c>
      <c r="GQ3">
        <v>14.339</v>
      </c>
      <c r="GR3">
        <v>15.35</v>
      </c>
      <c r="GS3">
        <v>24.109000000000002</v>
      </c>
      <c r="GT3">
        <v>36.945999999999998</v>
      </c>
      <c r="GU3">
        <v>48.566000000000003</v>
      </c>
      <c r="GV3">
        <v>54.045000000000002</v>
      </c>
      <c r="GW3">
        <v>50.642000000000003</v>
      </c>
      <c r="GX3">
        <v>38.628</v>
      </c>
      <c r="GY3">
        <v>20.88</v>
      </c>
      <c r="GZ3">
        <v>1.5820000000000001</v>
      </c>
      <c r="HA3">
        <v>-15.250999999999999</v>
      </c>
      <c r="HB3">
        <v>-26.847999999999999</v>
      </c>
      <c r="HC3">
        <v>-32.130000000000003</v>
      </c>
      <c r="HD3">
        <v>-31.678999999999998</v>
      </c>
      <c r="HE3">
        <v>-27.373000000000001</v>
      </c>
      <c r="HF3">
        <v>-21.734000000000002</v>
      </c>
      <c r="HG3">
        <v>-17.045000000000002</v>
      </c>
      <c r="HH3">
        <v>-14.555</v>
      </c>
      <c r="HI3">
        <v>-14.138999999999999</v>
      </c>
      <c r="HJ3">
        <v>-14.561999999999999</v>
      </c>
      <c r="HK3">
        <v>-14.109</v>
      </c>
      <c r="HL3">
        <v>-11.223000000000001</v>
      </c>
      <c r="HM3">
        <v>-4.9560000000000004</v>
      </c>
      <c r="HN3">
        <v>4.734</v>
      </c>
      <c r="HO3">
        <v>16.829999999999998</v>
      </c>
      <c r="HP3">
        <v>29.306000000000001</v>
      </c>
      <c r="HQ3">
        <v>39.505000000000003</v>
      </c>
      <c r="HR3">
        <v>44.783999999999999</v>
      </c>
      <c r="HS3">
        <v>43.243000000000002</v>
      </c>
      <c r="HT3">
        <v>34.298999999999999</v>
      </c>
      <c r="HU3">
        <v>19.004999999999999</v>
      </c>
      <c r="HV3">
        <v>6.9000000000000006E-2</v>
      </c>
      <c r="HW3">
        <v>-18.553000000000001</v>
      </c>
      <c r="HX3">
        <v>-32.572000000000003</v>
      </c>
      <c r="HY3">
        <v>-38.667000000000002</v>
      </c>
      <c r="HZ3">
        <v>-35.741</v>
      </c>
      <c r="IA3">
        <v>-25.553000000000001</v>
      </c>
      <c r="IB3">
        <v>-12.284000000000001</v>
      </c>
      <c r="IC3">
        <v>-0.97699999999999998</v>
      </c>
      <c r="ID3">
        <v>4.58</v>
      </c>
      <c r="IE3">
        <v>3.4430000000000001</v>
      </c>
      <c r="IF3">
        <v>-2.2909999999999999</v>
      </c>
      <c r="IG3">
        <v>-8.75</v>
      </c>
      <c r="IH3">
        <v>-12.208</v>
      </c>
      <c r="II3">
        <v>-10.669</v>
      </c>
      <c r="IJ3">
        <v>-4.45</v>
      </c>
      <c r="IK3">
        <v>4.266</v>
      </c>
      <c r="IL3">
        <v>12.557</v>
      </c>
      <c r="IM3">
        <v>18.053999999999998</v>
      </c>
      <c r="IN3">
        <v>19.888000000000002</v>
      </c>
      <c r="IO3">
        <v>18.8</v>
      </c>
      <c r="IP3">
        <v>16.260999999999999</v>
      </c>
      <c r="IQ3">
        <v>13.122999999999999</v>
      </c>
      <c r="IR3">
        <v>8.8659999999999997</v>
      </c>
      <c r="IS3">
        <v>2.2029999999999998</v>
      </c>
      <c r="IT3">
        <v>-7.3209999999999997</v>
      </c>
      <c r="IU3">
        <v>-17.998999999999999</v>
      </c>
      <c r="IV3">
        <v>-26.099</v>
      </c>
      <c r="IW3">
        <v>-27.658000000000001</v>
      </c>
      <c r="IX3">
        <v>-20.931999999999999</v>
      </c>
      <c r="IY3">
        <v>-8.0269999999999992</v>
      </c>
      <c r="IZ3">
        <v>5.5709999999999997</v>
      </c>
      <c r="JA3">
        <v>13.757</v>
      </c>
      <c r="JB3">
        <v>13.513999999999999</v>
      </c>
      <c r="JC3">
        <v>7.101</v>
      </c>
      <c r="JD3">
        <v>0.69299999999999995</v>
      </c>
      <c r="JE3">
        <v>-0.30199999999999999</v>
      </c>
      <c r="JF3">
        <v>4.7939999999999996</v>
      </c>
      <c r="JG3" t="s">
        <v>77</v>
      </c>
    </row>
    <row r="4" spans="1:267" x14ac:dyDescent="0.4">
      <c r="A4">
        <v>3</v>
      </c>
      <c r="B4">
        <v>30</v>
      </c>
      <c r="C4">
        <v>1</v>
      </c>
      <c r="D4">
        <v>512</v>
      </c>
      <c r="E4">
        <v>0</v>
      </c>
      <c r="F4">
        <v>1691417455</v>
      </c>
      <c r="G4">
        <v>1</v>
      </c>
      <c r="H4" t="s">
        <v>27</v>
      </c>
      <c r="K4" t="s">
        <v>78</v>
      </c>
      <c r="M4">
        <v>4000</v>
      </c>
      <c r="N4">
        <v>70</v>
      </c>
      <c r="O4">
        <v>20</v>
      </c>
      <c r="P4">
        <v>90</v>
      </c>
      <c r="Q4">
        <v>5</v>
      </c>
      <c r="R4">
        <v>2</v>
      </c>
      <c r="S4">
        <v>40.96</v>
      </c>
      <c r="T4">
        <v>244</v>
      </c>
      <c r="U4">
        <v>0</v>
      </c>
      <c r="W4">
        <v>-2.5539999999999998</v>
      </c>
      <c r="X4">
        <v>-20.994</v>
      </c>
      <c r="Y4">
        <v>-37.6</v>
      </c>
      <c r="Z4">
        <v>-51.15</v>
      </c>
      <c r="AA4">
        <v>-61.142000000000003</v>
      </c>
      <c r="AB4">
        <v>-67.171000000000006</v>
      </c>
      <c r="AC4">
        <v>-68.819000000000003</v>
      </c>
      <c r="AD4">
        <v>-66.082999999999998</v>
      </c>
      <c r="AE4">
        <v>-59.817999999999998</v>
      </c>
      <c r="AF4">
        <v>-51.755000000000003</v>
      </c>
      <c r="AG4">
        <v>-43.966000000000001</v>
      </c>
      <c r="AH4">
        <v>-38.018000000000001</v>
      </c>
      <c r="AI4">
        <v>-34.209000000000003</v>
      </c>
      <c r="AJ4">
        <v>-31.349</v>
      </c>
      <c r="AK4">
        <v>-27.375</v>
      </c>
      <c r="AL4">
        <v>-20.585000000000001</v>
      </c>
      <c r="AM4">
        <v>-10.826000000000001</v>
      </c>
      <c r="AN4">
        <v>9.5000000000000001E-2</v>
      </c>
      <c r="AO4">
        <v>9.1319999999999997</v>
      </c>
      <c r="AP4">
        <v>13.507</v>
      </c>
      <c r="AQ4">
        <v>12.218</v>
      </c>
      <c r="AR4">
        <v>6.7569999999999997</v>
      </c>
      <c r="AS4">
        <v>0.69499999999999995</v>
      </c>
      <c r="AT4">
        <v>-1.74</v>
      </c>
      <c r="AU4">
        <v>2.4409999999999998</v>
      </c>
      <c r="AV4">
        <v>13.394</v>
      </c>
      <c r="AW4">
        <v>27.986999999999998</v>
      </c>
      <c r="AX4">
        <v>40.963000000000001</v>
      </c>
      <c r="AY4">
        <v>47.366999999999997</v>
      </c>
      <c r="AZ4">
        <v>45.030999999999999</v>
      </c>
      <c r="BA4">
        <v>35.667000000000002</v>
      </c>
      <c r="BB4">
        <v>23.885000000000002</v>
      </c>
      <c r="BC4">
        <v>14.778</v>
      </c>
      <c r="BD4">
        <v>11.492000000000001</v>
      </c>
      <c r="BE4">
        <v>13.991</v>
      </c>
      <c r="BF4">
        <v>19.414999999999999</v>
      </c>
      <c r="BG4">
        <v>23.681000000000001</v>
      </c>
      <c r="BH4">
        <v>23.606000000000002</v>
      </c>
      <c r="BI4">
        <v>18.591000000000001</v>
      </c>
      <c r="BJ4">
        <v>10.955</v>
      </c>
      <c r="BK4">
        <v>4.57</v>
      </c>
      <c r="BL4">
        <v>2.552</v>
      </c>
      <c r="BM4">
        <v>5.5380000000000003</v>
      </c>
      <c r="BN4">
        <v>11.66</v>
      </c>
      <c r="BO4">
        <v>18.018999999999998</v>
      </c>
      <c r="BP4">
        <v>22.370999999999999</v>
      </c>
      <c r="BQ4">
        <v>23.896000000000001</v>
      </c>
      <c r="BR4">
        <v>22.850999999999999</v>
      </c>
      <c r="BS4">
        <v>19.747</v>
      </c>
      <c r="BT4">
        <v>14.811999999999999</v>
      </c>
      <c r="BU4">
        <v>8.0009999999999994</v>
      </c>
      <c r="BV4">
        <v>-0.68400000000000005</v>
      </c>
      <c r="BW4">
        <v>-10.972</v>
      </c>
      <c r="BX4">
        <v>-22.298999999999999</v>
      </c>
      <c r="BY4">
        <v>-33.753999999999998</v>
      </c>
      <c r="BZ4">
        <v>-43.853999999999999</v>
      </c>
      <c r="CA4">
        <v>-50.426000000000002</v>
      </c>
      <c r="CB4">
        <v>-51.124000000000002</v>
      </c>
      <c r="CC4">
        <v>-44.655999999999999</v>
      </c>
      <c r="CD4">
        <v>-32.045999999999999</v>
      </c>
      <c r="CE4">
        <v>-16.875</v>
      </c>
      <c r="CF4">
        <v>-4.0389999999999997</v>
      </c>
      <c r="CG4">
        <v>2.5190000000000001</v>
      </c>
      <c r="CH4">
        <v>1.8660000000000001</v>
      </c>
      <c r="CI4">
        <v>-3.3180000000000001</v>
      </c>
      <c r="CJ4">
        <v>-8.1029999999999998</v>
      </c>
      <c r="CK4">
        <v>-7.923</v>
      </c>
      <c r="CL4">
        <v>-0.97099999999999997</v>
      </c>
      <c r="CM4">
        <v>10.988</v>
      </c>
      <c r="CN4">
        <v>23.681999999999999</v>
      </c>
      <c r="CO4">
        <v>32.555</v>
      </c>
      <c r="CP4">
        <v>34.857999999999997</v>
      </c>
      <c r="CQ4">
        <v>30.603000000000002</v>
      </c>
      <c r="CR4">
        <v>22.079000000000001</v>
      </c>
      <c r="CS4">
        <v>12.37</v>
      </c>
      <c r="CT4">
        <v>3.7629999999999999</v>
      </c>
      <c r="CU4">
        <v>-3.1230000000000002</v>
      </c>
      <c r="CV4">
        <v>-9.1210000000000004</v>
      </c>
      <c r="CW4">
        <v>-15.536</v>
      </c>
      <c r="CX4">
        <v>-23.13</v>
      </c>
      <c r="CY4">
        <v>-31.664000000000001</v>
      </c>
      <c r="CZ4">
        <v>-40.030999999999999</v>
      </c>
      <c r="DA4">
        <v>-46.651000000000003</v>
      </c>
      <c r="DB4">
        <v>-49.912999999999997</v>
      </c>
      <c r="DC4">
        <v>-48.701000000000001</v>
      </c>
      <c r="DD4">
        <v>-42.929000000000002</v>
      </c>
      <c r="DE4">
        <v>-33.844999999999999</v>
      </c>
      <c r="DF4">
        <v>-23.774000000000001</v>
      </c>
      <c r="DG4">
        <v>-15.273</v>
      </c>
      <c r="DH4">
        <v>-10.050000000000001</v>
      </c>
      <c r="DI4">
        <v>-8.1709999999999994</v>
      </c>
      <c r="DJ4">
        <v>-8</v>
      </c>
      <c r="DK4">
        <v>-6.9770000000000003</v>
      </c>
      <c r="DL4">
        <v>-2.94</v>
      </c>
      <c r="DM4">
        <v>4.6669999999999998</v>
      </c>
      <c r="DN4">
        <v>14.451000000000001</v>
      </c>
      <c r="DO4">
        <v>23.925999999999998</v>
      </c>
      <c r="DP4">
        <v>31.053999999999998</v>
      </c>
      <c r="DQ4">
        <v>35.326000000000001</v>
      </c>
      <c r="DR4">
        <v>37.570999999999998</v>
      </c>
      <c r="DS4">
        <v>38.823999999999998</v>
      </c>
      <c r="DT4">
        <v>39.408999999999999</v>
      </c>
      <c r="DU4">
        <v>39.018000000000001</v>
      </c>
      <c r="DV4">
        <v>37.493000000000002</v>
      </c>
      <c r="DW4">
        <v>35.381</v>
      </c>
      <c r="DX4">
        <v>33.694000000000003</v>
      </c>
      <c r="DY4">
        <v>33.134999999999998</v>
      </c>
      <c r="DZ4">
        <v>33.548999999999999</v>
      </c>
      <c r="EA4">
        <v>34.122999999999998</v>
      </c>
      <c r="EB4">
        <v>34.101999999999997</v>
      </c>
      <c r="EC4">
        <v>33.274999999999999</v>
      </c>
      <c r="ED4">
        <v>31.800999999999998</v>
      </c>
      <c r="EE4">
        <v>29.693999999999999</v>
      </c>
      <c r="EF4">
        <v>26.655000000000001</v>
      </c>
      <c r="EG4">
        <v>22.401</v>
      </c>
      <c r="EH4">
        <v>16.934999999999999</v>
      </c>
      <c r="EI4">
        <v>10.3</v>
      </c>
      <c r="EJ4">
        <v>2.1589999999999998</v>
      </c>
      <c r="EK4">
        <v>-8.0359999999999996</v>
      </c>
      <c r="EL4">
        <v>-20.149000000000001</v>
      </c>
      <c r="EM4">
        <v>-32.554000000000002</v>
      </c>
      <c r="EN4">
        <v>-42.381</v>
      </c>
      <c r="EO4">
        <v>-46.832999999999998</v>
      </c>
      <c r="EP4">
        <v>-44.674999999999997</v>
      </c>
      <c r="EQ4">
        <v>-36.847000000000001</v>
      </c>
      <c r="ER4">
        <v>-25.904</v>
      </c>
      <c r="ES4">
        <v>-14.879</v>
      </c>
      <c r="ET4">
        <v>-6.3620000000000001</v>
      </c>
      <c r="EU4">
        <v>-2.1219999999999999</v>
      </c>
      <c r="EV4">
        <v>-2.9809999999999999</v>
      </c>
      <c r="EW4">
        <v>-8.5990000000000002</v>
      </c>
      <c r="EX4">
        <v>-17.268999999999998</v>
      </c>
      <c r="EY4">
        <v>-26.248000000000001</v>
      </c>
      <c r="EZ4">
        <v>-32.920999999999999</v>
      </c>
      <c r="FA4">
        <v>-36.296999999999997</v>
      </c>
      <c r="FB4">
        <v>-37.683999999999997</v>
      </c>
      <c r="FC4">
        <v>-39.752000000000002</v>
      </c>
      <c r="FD4">
        <v>-44.41</v>
      </c>
      <c r="FE4">
        <v>-50.966999999999999</v>
      </c>
      <c r="FF4">
        <v>-55.866</v>
      </c>
      <c r="FG4">
        <v>-54.274000000000001</v>
      </c>
      <c r="FH4">
        <v>-42.667000000000002</v>
      </c>
      <c r="FI4">
        <v>-21.052</v>
      </c>
      <c r="FJ4">
        <v>6.3890000000000002</v>
      </c>
      <c r="FK4">
        <v>32.719000000000001</v>
      </c>
      <c r="FL4">
        <v>51.170999999999999</v>
      </c>
      <c r="FM4">
        <v>58.085999999999999</v>
      </c>
      <c r="FN4">
        <v>54.231999999999999</v>
      </c>
      <c r="FO4">
        <v>43.831000000000003</v>
      </c>
      <c r="FP4">
        <v>32.107999999999997</v>
      </c>
      <c r="FQ4">
        <v>22.977</v>
      </c>
      <c r="FR4">
        <v>18.081</v>
      </c>
      <c r="FS4">
        <v>17.181000000000001</v>
      </c>
      <c r="FT4">
        <v>19.012</v>
      </c>
      <c r="FU4">
        <v>21.808</v>
      </c>
      <c r="FV4">
        <v>23.510999999999999</v>
      </c>
      <c r="FW4">
        <v>22.236999999999998</v>
      </c>
      <c r="FX4">
        <v>17.257999999999999</v>
      </c>
      <c r="FY4">
        <v>9.8919999999999995</v>
      </c>
      <c r="FZ4">
        <v>3.2440000000000002</v>
      </c>
      <c r="GA4">
        <v>0.495</v>
      </c>
      <c r="GB4">
        <v>2.7869999999999999</v>
      </c>
      <c r="GC4">
        <v>8.3829999999999991</v>
      </c>
      <c r="GD4">
        <v>13.914999999999999</v>
      </c>
      <c r="GE4">
        <v>16.765000000000001</v>
      </c>
      <c r="GF4">
        <v>16.655000000000001</v>
      </c>
      <c r="GG4">
        <v>15.241</v>
      </c>
      <c r="GH4">
        <v>14.19</v>
      </c>
      <c r="GI4">
        <v>13.42</v>
      </c>
      <c r="GJ4">
        <v>10.882999999999999</v>
      </c>
      <c r="GK4">
        <v>3.964</v>
      </c>
      <c r="GL4">
        <v>-8.5630000000000006</v>
      </c>
      <c r="GM4">
        <v>-25.335999999999999</v>
      </c>
      <c r="GN4">
        <v>-42.622999999999998</v>
      </c>
      <c r="GO4">
        <v>-55.829000000000001</v>
      </c>
      <c r="GP4">
        <v>-61.579000000000001</v>
      </c>
      <c r="GQ4">
        <v>-59.401000000000003</v>
      </c>
      <c r="GR4">
        <v>-52.073999999999998</v>
      </c>
      <c r="GS4">
        <v>-44.197000000000003</v>
      </c>
      <c r="GT4">
        <v>-39.527000000000001</v>
      </c>
      <c r="GU4">
        <v>-38.646000000000001</v>
      </c>
      <c r="GV4">
        <v>-38.630000000000003</v>
      </c>
      <c r="GW4">
        <v>-35.109000000000002</v>
      </c>
      <c r="GX4">
        <v>-25.398</v>
      </c>
      <c r="GY4">
        <v>-10.542999999999999</v>
      </c>
      <c r="GZ4">
        <v>5.0620000000000003</v>
      </c>
      <c r="HA4">
        <v>16.184999999999999</v>
      </c>
      <c r="HB4">
        <v>19.733000000000001</v>
      </c>
      <c r="HC4">
        <v>16.427</v>
      </c>
      <c r="HD4">
        <v>10.37</v>
      </c>
      <c r="HE4">
        <v>6.9889999999999999</v>
      </c>
      <c r="HF4">
        <v>10.534000000000001</v>
      </c>
      <c r="HG4">
        <v>22.172999999999998</v>
      </c>
      <c r="HH4">
        <v>39.323</v>
      </c>
      <c r="HI4">
        <v>56.43</v>
      </c>
      <c r="HJ4">
        <v>67.158000000000001</v>
      </c>
      <c r="HK4">
        <v>67.308999999999997</v>
      </c>
      <c r="HL4">
        <v>57.055999999999997</v>
      </c>
      <c r="HM4">
        <v>40.978999999999999</v>
      </c>
      <c r="HN4">
        <v>25.579000000000001</v>
      </c>
      <c r="HO4">
        <v>15.706</v>
      </c>
      <c r="HP4">
        <v>12.23</v>
      </c>
      <c r="HQ4">
        <v>12.42</v>
      </c>
      <c r="HR4">
        <v>12.443</v>
      </c>
      <c r="HS4">
        <v>9.968</v>
      </c>
      <c r="HT4">
        <v>5.0869999999999997</v>
      </c>
      <c r="HU4">
        <v>-0.61099999999999999</v>
      </c>
      <c r="HV4">
        <v>-5.5170000000000003</v>
      </c>
      <c r="HW4">
        <v>-8.7530000000000001</v>
      </c>
      <c r="HX4">
        <v>-10.069000000000001</v>
      </c>
      <c r="HY4">
        <v>-9.5220000000000002</v>
      </c>
      <c r="HZ4">
        <v>-7.4050000000000002</v>
      </c>
      <c r="IA4">
        <v>-4.2140000000000004</v>
      </c>
      <c r="IB4">
        <v>-0.41499999999999998</v>
      </c>
      <c r="IC4">
        <v>3.85</v>
      </c>
      <c r="ID4">
        <v>8.7780000000000005</v>
      </c>
      <c r="IE4">
        <v>14.544</v>
      </c>
      <c r="IF4">
        <v>20.888999999999999</v>
      </c>
      <c r="IG4">
        <v>26.984000000000002</v>
      </c>
      <c r="IH4">
        <v>31.655999999999999</v>
      </c>
      <c r="II4">
        <v>33.792999999999999</v>
      </c>
      <c r="IJ4">
        <v>32.662999999999997</v>
      </c>
      <c r="IK4">
        <v>28.016999999999999</v>
      </c>
      <c r="IL4">
        <v>20.059000000000001</v>
      </c>
      <c r="IM4">
        <v>9.407</v>
      </c>
      <c r="IN4">
        <v>-2.9249999999999998</v>
      </c>
      <c r="IO4">
        <v>-15.672000000000001</v>
      </c>
      <c r="IP4">
        <v>-27.576000000000001</v>
      </c>
      <c r="IQ4">
        <v>-37.567</v>
      </c>
      <c r="IR4">
        <v>-44.737000000000002</v>
      </c>
      <c r="IS4">
        <v>-48.558</v>
      </c>
      <c r="IT4">
        <v>-49.878</v>
      </c>
      <c r="IU4">
        <v>-52.204999999999998</v>
      </c>
      <c r="IV4">
        <v>-61.506999999999998</v>
      </c>
      <c r="IW4">
        <v>-82.914000000000001</v>
      </c>
      <c r="IX4">
        <v>-115.089</v>
      </c>
      <c r="IY4">
        <v>-145.983</v>
      </c>
      <c r="IZ4">
        <v>-154.66200000000001</v>
      </c>
      <c r="JA4">
        <v>-121.271</v>
      </c>
      <c r="JB4">
        <v>-41.491999999999997</v>
      </c>
      <c r="JC4">
        <v>64.111999999999995</v>
      </c>
      <c r="JD4">
        <v>156.99199999999999</v>
      </c>
      <c r="JE4">
        <v>206.18</v>
      </c>
      <c r="JF4">
        <v>211.22</v>
      </c>
      <c r="JG4" t="s">
        <v>77</v>
      </c>
    </row>
    <row r="5" spans="1:267" x14ac:dyDescent="0.4">
      <c r="A5">
        <v>4</v>
      </c>
      <c r="B5">
        <v>31</v>
      </c>
      <c r="C5">
        <v>1</v>
      </c>
      <c r="D5">
        <v>512</v>
      </c>
      <c r="E5">
        <v>0</v>
      </c>
      <c r="F5">
        <v>1691417479</v>
      </c>
      <c r="G5">
        <v>1</v>
      </c>
      <c r="H5" t="s">
        <v>27</v>
      </c>
      <c r="K5" t="s">
        <v>78</v>
      </c>
      <c r="M5">
        <v>4000</v>
      </c>
      <c r="N5">
        <v>60</v>
      </c>
      <c r="O5">
        <v>30</v>
      </c>
      <c r="P5">
        <v>90</v>
      </c>
      <c r="Q5">
        <v>5</v>
      </c>
      <c r="R5">
        <v>2</v>
      </c>
      <c r="S5">
        <v>40.96</v>
      </c>
      <c r="T5">
        <v>244</v>
      </c>
      <c r="U5">
        <v>0</v>
      </c>
      <c r="W5">
        <v>23.704999999999998</v>
      </c>
      <c r="X5">
        <v>46.034999999999997</v>
      </c>
      <c r="Y5">
        <v>57.304000000000002</v>
      </c>
      <c r="Z5">
        <v>57.238999999999997</v>
      </c>
      <c r="AA5">
        <v>49.58</v>
      </c>
      <c r="AB5">
        <v>39.735999999999997</v>
      </c>
      <c r="AC5">
        <v>32.267000000000003</v>
      </c>
      <c r="AD5">
        <v>29.245000000000001</v>
      </c>
      <c r="AE5">
        <v>29.951000000000001</v>
      </c>
      <c r="AF5">
        <v>31.835999999999999</v>
      </c>
      <c r="AG5">
        <v>32.273000000000003</v>
      </c>
      <c r="AH5">
        <v>30.123999999999999</v>
      </c>
      <c r="AI5">
        <v>26.216000000000001</v>
      </c>
      <c r="AJ5">
        <v>22.474</v>
      </c>
      <c r="AK5">
        <v>20.417000000000002</v>
      </c>
      <c r="AL5">
        <v>20.169</v>
      </c>
      <c r="AM5">
        <v>20.702999999999999</v>
      </c>
      <c r="AN5">
        <v>21.045999999999999</v>
      </c>
      <c r="AO5">
        <v>21.356000000000002</v>
      </c>
      <c r="AP5">
        <v>22.893999999999998</v>
      </c>
      <c r="AQ5">
        <v>26.786000000000001</v>
      </c>
      <c r="AR5">
        <v>32.57</v>
      </c>
      <c r="AS5">
        <v>37.793999999999997</v>
      </c>
      <c r="AT5">
        <v>39.142000000000003</v>
      </c>
      <c r="AU5">
        <v>34.411999999999999</v>
      </c>
      <c r="AV5">
        <v>24.087</v>
      </c>
      <c r="AW5">
        <v>11.499000000000001</v>
      </c>
      <c r="AX5">
        <v>1.41</v>
      </c>
      <c r="AY5">
        <v>-2.27</v>
      </c>
      <c r="AZ5">
        <v>1.571</v>
      </c>
      <c r="BA5">
        <v>10.58</v>
      </c>
      <c r="BB5">
        <v>19.809999999999999</v>
      </c>
      <c r="BC5">
        <v>23.731000000000002</v>
      </c>
      <c r="BD5">
        <v>18.619</v>
      </c>
      <c r="BE5">
        <v>4.2969999999999997</v>
      </c>
      <c r="BF5">
        <v>-15.718999999999999</v>
      </c>
      <c r="BG5">
        <v>-35.942</v>
      </c>
      <c r="BH5">
        <v>-51.554000000000002</v>
      </c>
      <c r="BI5">
        <v>-60.284999999999997</v>
      </c>
      <c r="BJ5">
        <v>-62.531999999999996</v>
      </c>
      <c r="BK5">
        <v>-60.107999999999997</v>
      </c>
      <c r="BL5">
        <v>-54.896999999999998</v>
      </c>
      <c r="BM5">
        <v>-48.308</v>
      </c>
      <c r="BN5">
        <v>-41.45</v>
      </c>
      <c r="BO5">
        <v>-35.438000000000002</v>
      </c>
      <c r="BP5">
        <v>-31.376000000000001</v>
      </c>
      <c r="BQ5">
        <v>-30.03</v>
      </c>
      <c r="BR5">
        <v>-31.428000000000001</v>
      </c>
      <c r="BS5">
        <v>-34.590000000000003</v>
      </c>
      <c r="BT5">
        <v>-37.546999999999997</v>
      </c>
      <c r="BU5">
        <v>-37.793999999999997</v>
      </c>
      <c r="BV5">
        <v>-33.204000000000001</v>
      </c>
      <c r="BW5">
        <v>-23.071999999999999</v>
      </c>
      <c r="BX5">
        <v>-8.7319999999999993</v>
      </c>
      <c r="BY5">
        <v>6.7619999999999996</v>
      </c>
      <c r="BZ5">
        <v>19.876999999999999</v>
      </c>
      <c r="CA5">
        <v>28.184000000000001</v>
      </c>
      <c r="CB5">
        <v>31.41</v>
      </c>
      <c r="CC5">
        <v>31.369</v>
      </c>
      <c r="CD5">
        <v>30.792999999999999</v>
      </c>
      <c r="CE5">
        <v>31.724</v>
      </c>
      <c r="CF5">
        <v>34.411999999999999</v>
      </c>
      <c r="CG5">
        <v>37.470999999999997</v>
      </c>
      <c r="CH5">
        <v>39.203000000000003</v>
      </c>
      <c r="CI5">
        <v>39.158999999999999</v>
      </c>
      <c r="CJ5">
        <v>38.700000000000003</v>
      </c>
      <c r="CK5">
        <v>40.07</v>
      </c>
      <c r="CL5">
        <v>44.649000000000001</v>
      </c>
      <c r="CM5">
        <v>51.662999999999997</v>
      </c>
      <c r="CN5">
        <v>58.264000000000003</v>
      </c>
      <c r="CO5">
        <v>60.884</v>
      </c>
      <c r="CP5">
        <v>57.039000000000001</v>
      </c>
      <c r="CQ5">
        <v>46.606999999999999</v>
      </c>
      <c r="CR5">
        <v>31.963000000000001</v>
      </c>
      <c r="CS5">
        <v>16.882000000000001</v>
      </c>
      <c r="CT5">
        <v>4.78</v>
      </c>
      <c r="CU5">
        <v>-2.78</v>
      </c>
      <c r="CV5">
        <v>-6.5270000000000001</v>
      </c>
      <c r="CW5">
        <v>-8.7590000000000003</v>
      </c>
      <c r="CX5">
        <v>-12.012</v>
      </c>
      <c r="CY5">
        <v>-17.896000000000001</v>
      </c>
      <c r="CZ5">
        <v>-26.603999999999999</v>
      </c>
      <c r="DA5">
        <v>-37.124000000000002</v>
      </c>
      <c r="DB5">
        <v>-47.835999999999999</v>
      </c>
      <c r="DC5">
        <v>-57.052</v>
      </c>
      <c r="DD5">
        <v>-63.216000000000001</v>
      </c>
      <c r="DE5">
        <v>-64.887</v>
      </c>
      <c r="DF5">
        <v>-60.863</v>
      </c>
      <c r="DG5">
        <v>-50.683</v>
      </c>
      <c r="DH5">
        <v>-35.244999999999997</v>
      </c>
      <c r="DI5">
        <v>-17.012</v>
      </c>
      <c r="DJ5">
        <v>0.47399999999999998</v>
      </c>
      <c r="DK5">
        <v>13.590999999999999</v>
      </c>
      <c r="DL5">
        <v>19.696000000000002</v>
      </c>
      <c r="DM5">
        <v>17.891999999999999</v>
      </c>
      <c r="DN5">
        <v>9.2710000000000008</v>
      </c>
      <c r="DO5">
        <v>-3.4540000000000002</v>
      </c>
      <c r="DP5">
        <v>-16.809999999999999</v>
      </c>
      <c r="DQ5">
        <v>-27.555</v>
      </c>
      <c r="DR5">
        <v>-33.393000000000001</v>
      </c>
      <c r="DS5">
        <v>-33.264000000000003</v>
      </c>
      <c r="DT5">
        <v>-27.390999999999998</v>
      </c>
      <c r="DU5">
        <v>-17.306999999999999</v>
      </c>
      <c r="DV5">
        <v>-5.806</v>
      </c>
      <c r="DW5">
        <v>3.4609999999999999</v>
      </c>
      <c r="DX5">
        <v>6.9870000000000001</v>
      </c>
      <c r="DY5">
        <v>2.8279999999999998</v>
      </c>
      <c r="DZ5">
        <v>-8.1509999999999998</v>
      </c>
      <c r="EA5">
        <v>-22.045000000000002</v>
      </c>
      <c r="EB5">
        <v>-33.155000000000001</v>
      </c>
      <c r="EC5">
        <v>-36.369</v>
      </c>
      <c r="ED5">
        <v>-29.521000000000001</v>
      </c>
      <c r="EE5">
        <v>-14.46</v>
      </c>
      <c r="EF5">
        <v>3.7730000000000001</v>
      </c>
      <c r="EG5">
        <v>19.175999999999998</v>
      </c>
      <c r="EH5">
        <v>27.242000000000001</v>
      </c>
      <c r="EI5">
        <v>26.506</v>
      </c>
      <c r="EJ5">
        <v>18.7</v>
      </c>
      <c r="EK5">
        <v>7.6769999999999996</v>
      </c>
      <c r="EL5">
        <v>-2.3420000000000001</v>
      </c>
      <c r="EM5">
        <v>-8.4169999999999998</v>
      </c>
      <c r="EN5">
        <v>-9.7170000000000005</v>
      </c>
      <c r="EO5">
        <v>-7.2380000000000004</v>
      </c>
      <c r="EP5">
        <v>-2.766</v>
      </c>
      <c r="EQ5">
        <v>2.194</v>
      </c>
      <c r="ER5">
        <v>6.976</v>
      </c>
      <c r="ES5">
        <v>11.571999999999999</v>
      </c>
      <c r="ET5">
        <v>15.983000000000001</v>
      </c>
      <c r="EU5">
        <v>19.62</v>
      </c>
      <c r="EV5">
        <v>21.327999999999999</v>
      </c>
      <c r="EW5">
        <v>20.12</v>
      </c>
      <c r="EX5">
        <v>16.039000000000001</v>
      </c>
      <c r="EY5">
        <v>10.433</v>
      </c>
      <c r="EZ5">
        <v>5.3620000000000001</v>
      </c>
      <c r="FA5">
        <v>2.5150000000000001</v>
      </c>
      <c r="FB5">
        <v>2.35</v>
      </c>
      <c r="FC5">
        <v>4.0739999999999998</v>
      </c>
      <c r="FD5">
        <v>6.54</v>
      </c>
      <c r="FE5">
        <v>9.4130000000000003</v>
      </c>
      <c r="FF5">
        <v>13.673999999999999</v>
      </c>
      <c r="FG5">
        <v>20.923999999999999</v>
      </c>
      <c r="FH5">
        <v>31.928999999999998</v>
      </c>
      <c r="FI5">
        <v>45.447000000000003</v>
      </c>
      <c r="FJ5">
        <v>58.268000000000001</v>
      </c>
      <c r="FK5">
        <v>66.58</v>
      </c>
      <c r="FL5">
        <v>67.94</v>
      </c>
      <c r="FM5">
        <v>62.661000000000001</v>
      </c>
      <c r="FN5">
        <v>53.709000000000003</v>
      </c>
      <c r="FO5">
        <v>45.064999999999998</v>
      </c>
      <c r="FP5">
        <v>39.569000000000003</v>
      </c>
      <c r="FQ5">
        <v>37.622999999999998</v>
      </c>
      <c r="FR5">
        <v>37.484000000000002</v>
      </c>
      <c r="FS5">
        <v>36.707000000000001</v>
      </c>
      <c r="FT5">
        <v>33.521000000000001</v>
      </c>
      <c r="FU5">
        <v>27.291</v>
      </c>
      <c r="FV5">
        <v>18.18</v>
      </c>
      <c r="FW5">
        <v>6.7839999999999998</v>
      </c>
      <c r="FX5">
        <v>-5.8390000000000004</v>
      </c>
      <c r="FY5">
        <v>-18.010999999999999</v>
      </c>
      <c r="FZ5">
        <v>-27.757999999999999</v>
      </c>
      <c r="GA5">
        <v>-33.719000000000001</v>
      </c>
      <c r="GB5">
        <v>-36.119999999999997</v>
      </c>
      <c r="GC5">
        <v>-37.015000000000001</v>
      </c>
      <c r="GD5">
        <v>-39.402000000000001</v>
      </c>
      <c r="GE5">
        <v>-45.543999999999997</v>
      </c>
      <c r="GF5">
        <v>-55.405000000000001</v>
      </c>
      <c r="GG5">
        <v>-66.245000000000005</v>
      </c>
      <c r="GH5">
        <v>-73.835999999999999</v>
      </c>
      <c r="GI5">
        <v>-74.676000000000002</v>
      </c>
      <c r="GJ5">
        <v>-67.802999999999997</v>
      </c>
      <c r="GK5">
        <v>-55.073999999999998</v>
      </c>
      <c r="GL5">
        <v>-39.911000000000001</v>
      </c>
      <c r="GM5">
        <v>-25.544</v>
      </c>
      <c r="GN5">
        <v>-13.96</v>
      </c>
      <c r="GO5">
        <v>-6.0030000000000001</v>
      </c>
      <c r="GP5">
        <v>-2.1360000000000001</v>
      </c>
      <c r="GQ5">
        <v>-2.8889999999999998</v>
      </c>
      <c r="GR5">
        <v>-8.5090000000000003</v>
      </c>
      <c r="GS5">
        <v>-18.166</v>
      </c>
      <c r="GT5">
        <v>-29.550999999999998</v>
      </c>
      <c r="GU5">
        <v>-39.256</v>
      </c>
      <c r="GV5">
        <v>-43.707999999999998</v>
      </c>
      <c r="GW5">
        <v>-40.228000000000002</v>
      </c>
      <c r="GX5">
        <v>-27.984000000000002</v>
      </c>
      <c r="GY5">
        <v>-8.6739999999999995</v>
      </c>
      <c r="GZ5">
        <v>13.438000000000001</v>
      </c>
      <c r="HA5">
        <v>32.524999999999999</v>
      </c>
      <c r="HB5">
        <v>43.09</v>
      </c>
      <c r="HC5">
        <v>42.01</v>
      </c>
      <c r="HD5">
        <v>29.774000000000001</v>
      </c>
      <c r="HE5">
        <v>10.356999999999999</v>
      </c>
      <c r="HF5">
        <v>-10.176</v>
      </c>
      <c r="HG5">
        <v>-25.73</v>
      </c>
      <c r="HH5">
        <v>-32.146000000000001</v>
      </c>
      <c r="HI5">
        <v>-28.469000000000001</v>
      </c>
      <c r="HJ5">
        <v>-17.196000000000002</v>
      </c>
      <c r="HK5">
        <v>-3.4159999999999999</v>
      </c>
      <c r="HL5">
        <v>6.9960000000000004</v>
      </c>
      <c r="HM5">
        <v>9.6059999999999999</v>
      </c>
      <c r="HN5">
        <v>3.2040000000000002</v>
      </c>
      <c r="HO5">
        <v>-9.7029999999999994</v>
      </c>
      <c r="HP5">
        <v>-23.943999999999999</v>
      </c>
      <c r="HQ5">
        <v>-33.82</v>
      </c>
      <c r="HR5">
        <v>-35.344999999999999</v>
      </c>
      <c r="HS5">
        <v>-27.672999999999998</v>
      </c>
      <c r="HT5">
        <v>-13.159000000000001</v>
      </c>
      <c r="HU5">
        <v>3.9460000000000002</v>
      </c>
      <c r="HV5">
        <v>19.550999999999998</v>
      </c>
      <c r="HW5">
        <v>31.53</v>
      </c>
      <c r="HX5">
        <v>40.293999999999997</v>
      </c>
      <c r="HY5">
        <v>47.875</v>
      </c>
      <c r="HZ5">
        <v>56.232999999999997</v>
      </c>
      <c r="IA5">
        <v>65.926000000000002</v>
      </c>
      <c r="IB5">
        <v>75.885000000000005</v>
      </c>
      <c r="IC5">
        <v>84.093000000000004</v>
      </c>
      <c r="ID5">
        <v>88.518000000000001</v>
      </c>
      <c r="IE5">
        <v>87.831999999999994</v>
      </c>
      <c r="IF5">
        <v>81.855999999999995</v>
      </c>
      <c r="IG5">
        <v>71.825000000000003</v>
      </c>
      <c r="IH5">
        <v>60.237000000000002</v>
      </c>
      <c r="II5">
        <v>50.024000000000001</v>
      </c>
      <c r="IJ5">
        <v>43.124000000000002</v>
      </c>
      <c r="IK5">
        <v>39.228999999999999</v>
      </c>
      <c r="IL5">
        <v>35.637999999999998</v>
      </c>
      <c r="IM5">
        <v>28.538</v>
      </c>
      <c r="IN5">
        <v>15.054</v>
      </c>
      <c r="IO5">
        <v>-5.1680000000000001</v>
      </c>
      <c r="IP5">
        <v>-29.69</v>
      </c>
      <c r="IQ5">
        <v>-54.25</v>
      </c>
      <c r="IR5">
        <v>-74.352000000000004</v>
      </c>
      <c r="IS5">
        <v>-86.924000000000007</v>
      </c>
      <c r="IT5">
        <v>-91.748000000000005</v>
      </c>
      <c r="IU5">
        <v>-92.137</v>
      </c>
      <c r="IV5">
        <v>-93.978999999999999</v>
      </c>
      <c r="IW5">
        <v>-102.66200000000001</v>
      </c>
      <c r="IX5">
        <v>-118.715</v>
      </c>
      <c r="IY5">
        <v>-134.608</v>
      </c>
      <c r="IZ5">
        <v>-135.74600000000001</v>
      </c>
      <c r="JA5">
        <v>-107.21899999999999</v>
      </c>
      <c r="JB5">
        <v>-44.15</v>
      </c>
      <c r="JC5">
        <v>40.981000000000002</v>
      </c>
      <c r="JD5">
        <v>122.276</v>
      </c>
      <c r="JE5">
        <v>177.90899999999999</v>
      </c>
      <c r="JF5">
        <v>206.489</v>
      </c>
      <c r="JG5" t="s">
        <v>77</v>
      </c>
    </row>
    <row r="6" spans="1:267" x14ac:dyDescent="0.4">
      <c r="A6">
        <v>5</v>
      </c>
      <c r="B6">
        <v>32</v>
      </c>
      <c r="C6">
        <v>1</v>
      </c>
      <c r="D6">
        <v>512</v>
      </c>
      <c r="E6">
        <v>0</v>
      </c>
      <c r="F6">
        <v>1691417504</v>
      </c>
      <c r="G6">
        <v>1</v>
      </c>
      <c r="H6" t="s">
        <v>27</v>
      </c>
      <c r="K6" t="s">
        <v>78</v>
      </c>
      <c r="M6">
        <v>4000</v>
      </c>
      <c r="N6">
        <v>50</v>
      </c>
      <c r="O6">
        <v>40</v>
      </c>
      <c r="P6">
        <v>90</v>
      </c>
      <c r="Q6">
        <v>5</v>
      </c>
      <c r="R6">
        <v>2</v>
      </c>
      <c r="S6">
        <v>40.96</v>
      </c>
      <c r="T6">
        <v>244</v>
      </c>
      <c r="U6">
        <v>0</v>
      </c>
      <c r="W6">
        <v>23.989000000000001</v>
      </c>
      <c r="X6">
        <v>29.527000000000001</v>
      </c>
      <c r="Y6">
        <v>38.545999999999999</v>
      </c>
      <c r="Z6">
        <v>50.701999999999998</v>
      </c>
      <c r="AA6">
        <v>64.033000000000001</v>
      </c>
      <c r="AB6">
        <v>75.450999999999993</v>
      </c>
      <c r="AC6">
        <v>82.046000000000006</v>
      </c>
      <c r="AD6">
        <v>82.542000000000002</v>
      </c>
      <c r="AE6">
        <v>77.921999999999997</v>
      </c>
      <c r="AF6">
        <v>70.753</v>
      </c>
      <c r="AG6">
        <v>63.741</v>
      </c>
      <c r="AH6">
        <v>58.555999999999997</v>
      </c>
      <c r="AI6">
        <v>55.582000000000001</v>
      </c>
      <c r="AJ6">
        <v>54.384999999999998</v>
      </c>
      <c r="AK6">
        <v>54.228000000000002</v>
      </c>
      <c r="AL6">
        <v>54.158000000000001</v>
      </c>
      <c r="AM6">
        <v>52.814999999999998</v>
      </c>
      <c r="AN6">
        <v>48.456000000000003</v>
      </c>
      <c r="AO6">
        <v>39.442999999999998</v>
      </c>
      <c r="AP6">
        <v>24.931000000000001</v>
      </c>
      <c r="AQ6">
        <v>5.2720000000000002</v>
      </c>
      <c r="AR6">
        <v>-18.126999999999999</v>
      </c>
      <c r="AS6">
        <v>-43.286000000000001</v>
      </c>
      <c r="AT6">
        <v>-68.084999999999994</v>
      </c>
      <c r="AU6">
        <v>-90.417000000000002</v>
      </c>
      <c r="AV6">
        <v>-108.146</v>
      </c>
      <c r="AW6">
        <v>-119.268</v>
      </c>
      <c r="AX6">
        <v>-122.568</v>
      </c>
      <c r="AY6">
        <v>-118.553</v>
      </c>
      <c r="AZ6">
        <v>-109.898</v>
      </c>
      <c r="BA6">
        <v>-100.68</v>
      </c>
      <c r="BB6">
        <v>-94.51</v>
      </c>
      <c r="BC6">
        <v>-92.667000000000002</v>
      </c>
      <c r="BD6">
        <v>-93.578999999999994</v>
      </c>
      <c r="BE6">
        <v>-94.156000000000006</v>
      </c>
      <c r="BF6">
        <v>-92.031999999999996</v>
      </c>
      <c r="BG6">
        <v>-86.944999999999993</v>
      </c>
      <c r="BH6">
        <v>-80.176000000000002</v>
      </c>
      <c r="BI6">
        <v>-72.688999999999993</v>
      </c>
      <c r="BJ6">
        <v>-63.75</v>
      </c>
      <c r="BK6">
        <v>-51.368000000000002</v>
      </c>
      <c r="BL6">
        <v>-34.225999999999999</v>
      </c>
      <c r="BM6">
        <v>-13.51</v>
      </c>
      <c r="BN6">
        <v>6.9340000000000002</v>
      </c>
      <c r="BO6">
        <v>22.452999999999999</v>
      </c>
      <c r="BP6">
        <v>30.311</v>
      </c>
      <c r="BQ6">
        <v>31.452999999999999</v>
      </c>
      <c r="BR6">
        <v>30.071999999999999</v>
      </c>
      <c r="BS6">
        <v>31.212</v>
      </c>
      <c r="BT6">
        <v>37.947000000000003</v>
      </c>
      <c r="BU6">
        <v>49.902999999999999</v>
      </c>
      <c r="BV6">
        <v>63.953000000000003</v>
      </c>
      <c r="BW6">
        <v>76.465000000000003</v>
      </c>
      <c r="BX6">
        <v>85.522000000000006</v>
      </c>
      <c r="BY6">
        <v>91.67</v>
      </c>
      <c r="BZ6">
        <v>96.811999999999998</v>
      </c>
      <c r="CA6">
        <v>102.17</v>
      </c>
      <c r="CB6">
        <v>106.876</v>
      </c>
      <c r="CC6">
        <v>108.304</v>
      </c>
      <c r="CD6">
        <v>104.017</v>
      </c>
      <c r="CE6">
        <v>93.897999999999996</v>
      </c>
      <c r="CF6">
        <v>80.777000000000001</v>
      </c>
      <c r="CG6">
        <v>68.954999999999998</v>
      </c>
      <c r="CH6">
        <v>61.665999999999997</v>
      </c>
      <c r="CI6">
        <v>59.292999999999999</v>
      </c>
      <c r="CJ6">
        <v>59.435000000000002</v>
      </c>
      <c r="CK6">
        <v>58.500999999999998</v>
      </c>
      <c r="CL6">
        <v>53.564</v>
      </c>
      <c r="CM6">
        <v>43.468000000000004</v>
      </c>
      <c r="CN6">
        <v>28.946000000000002</v>
      </c>
      <c r="CO6">
        <v>12.08</v>
      </c>
      <c r="CP6">
        <v>-4.5540000000000003</v>
      </c>
      <c r="CQ6">
        <v>-18.768999999999998</v>
      </c>
      <c r="CR6">
        <v>-29.452999999999999</v>
      </c>
      <c r="CS6">
        <v>-36.813000000000002</v>
      </c>
      <c r="CT6">
        <v>-42.134</v>
      </c>
      <c r="CU6">
        <v>-47.201000000000001</v>
      </c>
      <c r="CV6">
        <v>-53.634999999999998</v>
      </c>
      <c r="CW6">
        <v>-62.265000000000001</v>
      </c>
      <c r="CX6">
        <v>-72.569999999999993</v>
      </c>
      <c r="CY6">
        <v>-82.45</v>
      </c>
      <c r="CZ6">
        <v>-88.787000000000006</v>
      </c>
      <c r="DA6">
        <v>-88.864999999999995</v>
      </c>
      <c r="DB6">
        <v>-81.933000000000007</v>
      </c>
      <c r="DC6">
        <v>-69.802000000000007</v>
      </c>
      <c r="DD6">
        <v>-56.029000000000003</v>
      </c>
      <c r="DE6">
        <v>-44.247999999999998</v>
      </c>
      <c r="DF6">
        <v>-36.81</v>
      </c>
      <c r="DG6">
        <v>-34.393999999999998</v>
      </c>
      <c r="DH6">
        <v>-36.423000000000002</v>
      </c>
      <c r="DI6">
        <v>-41.637999999999998</v>
      </c>
      <c r="DJ6">
        <v>-48.383000000000003</v>
      </c>
      <c r="DK6">
        <v>-54.598999999999997</v>
      </c>
      <c r="DL6">
        <v>-57.895000000000003</v>
      </c>
      <c r="DM6">
        <v>-55.984000000000002</v>
      </c>
      <c r="DN6">
        <v>-47.530999999999999</v>
      </c>
      <c r="DO6">
        <v>-33.01</v>
      </c>
      <c r="DP6">
        <v>-15.005000000000001</v>
      </c>
      <c r="DQ6">
        <v>2.4470000000000001</v>
      </c>
      <c r="DR6">
        <v>15.368</v>
      </c>
      <c r="DS6">
        <v>21.555</v>
      </c>
      <c r="DT6">
        <v>21.591000000000001</v>
      </c>
      <c r="DU6">
        <v>18.530999999999999</v>
      </c>
      <c r="DV6">
        <v>16.364999999999998</v>
      </c>
      <c r="DW6">
        <v>18.068999999999999</v>
      </c>
      <c r="DX6">
        <v>24.242999999999999</v>
      </c>
      <c r="DY6">
        <v>33.031999999999996</v>
      </c>
      <c r="DZ6">
        <v>41.286999999999999</v>
      </c>
      <c r="EA6">
        <v>46.298999999999999</v>
      </c>
      <c r="EB6">
        <v>47.046999999999997</v>
      </c>
      <c r="EC6">
        <v>44.27</v>
      </c>
      <c r="ED6">
        <v>39.457000000000001</v>
      </c>
      <c r="EE6">
        <v>33.610999999999997</v>
      </c>
      <c r="EF6">
        <v>26.753</v>
      </c>
      <c r="EG6">
        <v>18.454999999999998</v>
      </c>
      <c r="EH6">
        <v>8.8780000000000001</v>
      </c>
      <c r="EI6">
        <v>-0.66500000000000004</v>
      </c>
      <c r="EJ6">
        <v>-8.1010000000000009</v>
      </c>
      <c r="EK6">
        <v>-11.616</v>
      </c>
      <c r="EL6">
        <v>-10.513999999999999</v>
      </c>
      <c r="EM6">
        <v>-5.47</v>
      </c>
      <c r="EN6">
        <v>1.6950000000000001</v>
      </c>
      <c r="EO6">
        <v>8.4920000000000009</v>
      </c>
      <c r="EP6">
        <v>12.45</v>
      </c>
      <c r="EQ6">
        <v>11.989000000000001</v>
      </c>
      <c r="ER6">
        <v>7.077</v>
      </c>
      <c r="ES6">
        <v>-0.76400000000000001</v>
      </c>
      <c r="ET6">
        <v>-9.1720000000000006</v>
      </c>
      <c r="EU6">
        <v>-15.917999999999999</v>
      </c>
      <c r="EV6">
        <v>-19.600999999999999</v>
      </c>
      <c r="EW6">
        <v>-19.827999999999999</v>
      </c>
      <c r="EX6">
        <v>-16.977</v>
      </c>
      <c r="EY6">
        <v>-11.788</v>
      </c>
      <c r="EZ6">
        <v>-5.0309999999999997</v>
      </c>
      <c r="FA6">
        <v>2.5659999999999998</v>
      </c>
      <c r="FB6">
        <v>10.24</v>
      </c>
      <c r="FC6">
        <v>17.239999999999998</v>
      </c>
      <c r="FD6">
        <v>23.158000000000001</v>
      </c>
      <c r="FE6">
        <v>28.286999999999999</v>
      </c>
      <c r="FF6">
        <v>33.603999999999999</v>
      </c>
      <c r="FG6">
        <v>40.197000000000003</v>
      </c>
      <c r="FH6">
        <v>48.411000000000001</v>
      </c>
      <c r="FI6">
        <v>57.274999999999999</v>
      </c>
      <c r="FJ6">
        <v>64.626999999999995</v>
      </c>
      <c r="FK6">
        <v>67.983000000000004</v>
      </c>
      <c r="FL6">
        <v>65.736999999999995</v>
      </c>
      <c r="FM6">
        <v>58.054000000000002</v>
      </c>
      <c r="FN6">
        <v>46.985999999999997</v>
      </c>
      <c r="FO6">
        <v>35.725000000000001</v>
      </c>
      <c r="FP6">
        <v>27.326000000000001</v>
      </c>
      <c r="FQ6">
        <v>23.43</v>
      </c>
      <c r="FR6">
        <v>23.491</v>
      </c>
      <c r="FS6">
        <v>24.870999999999999</v>
      </c>
      <c r="FT6">
        <v>23.870999999999999</v>
      </c>
      <c r="FU6">
        <v>17.344000000000001</v>
      </c>
      <c r="FV6">
        <v>4.2030000000000003</v>
      </c>
      <c r="FW6">
        <v>-13.885</v>
      </c>
      <c r="FX6">
        <v>-32.968000000000004</v>
      </c>
      <c r="FY6">
        <v>-48.29</v>
      </c>
      <c r="FZ6">
        <v>-56.177999999999997</v>
      </c>
      <c r="GA6">
        <v>-55.531999999999996</v>
      </c>
      <c r="GB6">
        <v>-48.210999999999999</v>
      </c>
      <c r="GC6">
        <v>-38.154000000000003</v>
      </c>
      <c r="GD6">
        <v>-29.687999999999999</v>
      </c>
      <c r="GE6">
        <v>-25.948</v>
      </c>
      <c r="GF6">
        <v>-28.109000000000002</v>
      </c>
      <c r="GG6">
        <v>-35.549999999999997</v>
      </c>
      <c r="GH6">
        <v>-46.472000000000001</v>
      </c>
      <c r="GI6">
        <v>-58.466999999999999</v>
      </c>
      <c r="GJ6">
        <v>-68.918000000000006</v>
      </c>
      <c r="GK6">
        <v>-75.525999999999996</v>
      </c>
      <c r="GL6">
        <v>-77.096000000000004</v>
      </c>
      <c r="GM6">
        <v>-74.278000000000006</v>
      </c>
      <c r="GN6">
        <v>-69.555000000000007</v>
      </c>
      <c r="GO6">
        <v>-66.081999999999994</v>
      </c>
      <c r="GP6">
        <v>-65.765000000000001</v>
      </c>
      <c r="GQ6">
        <v>-67.733999999999995</v>
      </c>
      <c r="GR6">
        <v>-68.325999999999993</v>
      </c>
      <c r="GS6">
        <v>-62.817999999999998</v>
      </c>
      <c r="GT6">
        <v>-48.003</v>
      </c>
      <c r="GU6">
        <v>-24.173999999999999</v>
      </c>
      <c r="GV6">
        <v>4.556</v>
      </c>
      <c r="GW6">
        <v>31.707999999999998</v>
      </c>
      <c r="GX6">
        <v>50.975000000000001</v>
      </c>
      <c r="GY6">
        <v>58.792000000000002</v>
      </c>
      <c r="GZ6">
        <v>55.856000000000002</v>
      </c>
      <c r="HA6">
        <v>46.765999999999998</v>
      </c>
      <c r="HB6">
        <v>37.783000000000001</v>
      </c>
      <c r="HC6">
        <v>33.793999999999997</v>
      </c>
      <c r="HD6">
        <v>36.299999999999997</v>
      </c>
      <c r="HE6">
        <v>43.61</v>
      </c>
      <c r="HF6">
        <v>52.738999999999997</v>
      </c>
      <c r="HG6">
        <v>61.255000000000003</v>
      </c>
      <c r="HH6">
        <v>67.692999999999998</v>
      </c>
      <c r="HI6">
        <v>70.777000000000001</v>
      </c>
      <c r="HJ6">
        <v>68.879000000000005</v>
      </c>
      <c r="HK6">
        <v>60.709000000000003</v>
      </c>
      <c r="HL6">
        <v>46.771999999999998</v>
      </c>
      <c r="HM6">
        <v>30.071000000000002</v>
      </c>
      <c r="HN6">
        <v>15.052</v>
      </c>
      <c r="HO6">
        <v>5.2229999999999999</v>
      </c>
      <c r="HP6">
        <v>1.089</v>
      </c>
      <c r="HQ6">
        <v>-7.8E-2</v>
      </c>
      <c r="HR6">
        <v>-2.3940000000000001</v>
      </c>
      <c r="HS6">
        <v>-8.5660000000000007</v>
      </c>
      <c r="HT6">
        <v>-17.893000000000001</v>
      </c>
      <c r="HU6">
        <v>-26.283999999999999</v>
      </c>
      <c r="HV6">
        <v>-28.443000000000001</v>
      </c>
      <c r="HW6">
        <v>-21.123999999999999</v>
      </c>
      <c r="HX6">
        <v>-5.6040000000000001</v>
      </c>
      <c r="HY6">
        <v>12.324</v>
      </c>
      <c r="HZ6">
        <v>25.125</v>
      </c>
      <c r="IA6">
        <v>27.544</v>
      </c>
      <c r="IB6">
        <v>19.440999999999999</v>
      </c>
      <c r="IC6">
        <v>5.6970000000000001</v>
      </c>
      <c r="ID6">
        <v>-6.6589999999999998</v>
      </c>
      <c r="IE6">
        <v>-12.268000000000001</v>
      </c>
      <c r="IF6">
        <v>-9.9719999999999995</v>
      </c>
      <c r="IG6">
        <v>-2.8940000000000001</v>
      </c>
      <c r="IH6">
        <v>3.625</v>
      </c>
      <c r="II6">
        <v>4.9870000000000001</v>
      </c>
      <c r="IJ6">
        <v>-0.219</v>
      </c>
      <c r="IK6">
        <v>-9.4130000000000003</v>
      </c>
      <c r="IL6">
        <v>-17.335000000000001</v>
      </c>
      <c r="IM6">
        <v>-18.899000000000001</v>
      </c>
      <c r="IN6">
        <v>-12.021000000000001</v>
      </c>
      <c r="IO6">
        <v>1.2290000000000001</v>
      </c>
      <c r="IP6">
        <v>15.872999999999999</v>
      </c>
      <c r="IQ6">
        <v>26.829000000000001</v>
      </c>
      <c r="IR6">
        <v>31.311</v>
      </c>
      <c r="IS6">
        <v>29.141999999999999</v>
      </c>
      <c r="IT6">
        <v>20.812000000000001</v>
      </c>
      <c r="IU6">
        <v>5.0279999999999996</v>
      </c>
      <c r="IV6">
        <v>-21.678999999999998</v>
      </c>
      <c r="IW6">
        <v>-61.78</v>
      </c>
      <c r="IX6">
        <v>-111.214</v>
      </c>
      <c r="IY6">
        <v>-155.48599999999999</v>
      </c>
      <c r="IZ6">
        <v>-172.13499999999999</v>
      </c>
      <c r="JA6">
        <v>-141.44</v>
      </c>
      <c r="JB6">
        <v>-61.311</v>
      </c>
      <c r="JC6">
        <v>43.781999999999996</v>
      </c>
      <c r="JD6">
        <v>131.267</v>
      </c>
      <c r="JE6">
        <v>168.33</v>
      </c>
      <c r="JF6">
        <v>155.95099999999999</v>
      </c>
      <c r="JG6" t="s">
        <v>77</v>
      </c>
    </row>
    <row r="7" spans="1:267" x14ac:dyDescent="0.4">
      <c r="A7">
        <v>6</v>
      </c>
      <c r="B7">
        <v>33</v>
      </c>
      <c r="C7">
        <v>1</v>
      </c>
      <c r="D7">
        <v>512</v>
      </c>
      <c r="E7">
        <v>0</v>
      </c>
      <c r="F7">
        <v>1691417529</v>
      </c>
      <c r="G7">
        <v>1</v>
      </c>
      <c r="H7" t="s">
        <v>27</v>
      </c>
      <c r="K7" t="s">
        <v>78</v>
      </c>
      <c r="M7">
        <v>4000</v>
      </c>
      <c r="N7">
        <v>40</v>
      </c>
      <c r="O7">
        <v>50</v>
      </c>
      <c r="P7">
        <v>90</v>
      </c>
      <c r="Q7">
        <v>5</v>
      </c>
      <c r="R7">
        <v>2</v>
      </c>
      <c r="S7">
        <v>40.96</v>
      </c>
      <c r="T7">
        <v>244</v>
      </c>
      <c r="U7">
        <v>0</v>
      </c>
      <c r="W7">
        <v>-47.542999999999999</v>
      </c>
      <c r="X7">
        <v>-92.78</v>
      </c>
      <c r="Y7">
        <v>-124.232</v>
      </c>
      <c r="Z7">
        <v>-137.977</v>
      </c>
      <c r="AA7">
        <v>-136.22</v>
      </c>
      <c r="AB7">
        <v>-125.01</v>
      </c>
      <c r="AC7">
        <v>-110.9</v>
      </c>
      <c r="AD7">
        <v>-98.393000000000001</v>
      </c>
      <c r="AE7">
        <v>-89.091999999999999</v>
      </c>
      <c r="AF7">
        <v>-82.367999999999995</v>
      </c>
      <c r="AG7">
        <v>-76.724999999999994</v>
      </c>
      <c r="AH7">
        <v>-70.988</v>
      </c>
      <c r="AI7">
        <v>-64.891000000000005</v>
      </c>
      <c r="AJ7">
        <v>-59.021000000000001</v>
      </c>
      <c r="AK7">
        <v>-54.389000000000003</v>
      </c>
      <c r="AL7">
        <v>-51.831000000000003</v>
      </c>
      <c r="AM7">
        <v>-51.414000000000001</v>
      </c>
      <c r="AN7">
        <v>-52.082000000000001</v>
      </c>
      <c r="AO7">
        <v>-51.898000000000003</v>
      </c>
      <c r="AP7">
        <v>-49.029000000000003</v>
      </c>
      <c r="AQ7">
        <v>-42.988</v>
      </c>
      <c r="AR7">
        <v>-35.195999999999998</v>
      </c>
      <c r="AS7">
        <v>-28.25</v>
      </c>
      <c r="AT7">
        <v>-24.251000000000001</v>
      </c>
      <c r="AU7">
        <v>-23.289000000000001</v>
      </c>
      <c r="AV7">
        <v>-23.114000000000001</v>
      </c>
      <c r="AW7">
        <v>-20.263999999999999</v>
      </c>
      <c r="AX7">
        <v>-11.974</v>
      </c>
      <c r="AY7">
        <v>2.2170000000000001</v>
      </c>
      <c r="AZ7">
        <v>19.981000000000002</v>
      </c>
      <c r="BA7">
        <v>36.99</v>
      </c>
      <c r="BB7">
        <v>48.48</v>
      </c>
      <c r="BC7">
        <v>50.875999999999998</v>
      </c>
      <c r="BD7">
        <v>42.957999999999998</v>
      </c>
      <c r="BE7">
        <v>26.308</v>
      </c>
      <c r="BF7">
        <v>4.9340000000000002</v>
      </c>
      <c r="BG7">
        <v>-15.891</v>
      </c>
      <c r="BH7">
        <v>-31.199000000000002</v>
      </c>
      <c r="BI7">
        <v>-37.652000000000001</v>
      </c>
      <c r="BJ7">
        <v>-34.113999999999997</v>
      </c>
      <c r="BK7">
        <v>-21.434999999999999</v>
      </c>
      <c r="BL7">
        <v>-1.784</v>
      </c>
      <c r="BM7">
        <v>22.08</v>
      </c>
      <c r="BN7">
        <v>47.405999999999999</v>
      </c>
      <c r="BO7">
        <v>71.814999999999998</v>
      </c>
      <c r="BP7">
        <v>93.412000000000006</v>
      </c>
      <c r="BQ7">
        <v>110.706</v>
      </c>
      <c r="BR7">
        <v>122.51600000000001</v>
      </c>
      <c r="BS7">
        <v>128.02799999999999</v>
      </c>
      <c r="BT7">
        <v>127.09099999999999</v>
      </c>
      <c r="BU7">
        <v>120.613</v>
      </c>
      <c r="BV7">
        <v>110.705</v>
      </c>
      <c r="BW7">
        <v>100.187</v>
      </c>
      <c r="BX7">
        <v>91.512</v>
      </c>
      <c r="BY7">
        <v>85.688000000000002</v>
      </c>
      <c r="BZ7">
        <v>81.924000000000007</v>
      </c>
      <c r="CA7">
        <v>78.244</v>
      </c>
      <c r="CB7">
        <v>72.647999999999996</v>
      </c>
      <c r="CC7">
        <v>64.108999999999995</v>
      </c>
      <c r="CD7">
        <v>52.930999999999997</v>
      </c>
      <c r="CE7">
        <v>40.399000000000001</v>
      </c>
      <c r="CF7">
        <v>27.911999999999999</v>
      </c>
      <c r="CG7">
        <v>16.023</v>
      </c>
      <c r="CH7">
        <v>3.9279999999999999</v>
      </c>
      <c r="CI7">
        <v>-10.109</v>
      </c>
      <c r="CJ7">
        <v>-27.466000000000001</v>
      </c>
      <c r="CK7">
        <v>-47.819000000000003</v>
      </c>
      <c r="CL7">
        <v>-68.772999999999996</v>
      </c>
      <c r="CM7">
        <v>-86.887</v>
      </c>
      <c r="CN7">
        <v>-99.417000000000002</v>
      </c>
      <c r="CO7">
        <v>-105.57599999999999</v>
      </c>
      <c r="CP7">
        <v>-106.527</v>
      </c>
      <c r="CQ7">
        <v>-104.32</v>
      </c>
      <c r="CR7">
        <v>-100.60899999999999</v>
      </c>
      <c r="CS7">
        <v>-96.046000000000006</v>
      </c>
      <c r="CT7">
        <v>-90.588999999999999</v>
      </c>
      <c r="CU7">
        <v>-84.287999999999997</v>
      </c>
      <c r="CV7">
        <v>-77.774000000000001</v>
      </c>
      <c r="CW7">
        <v>-72.016000000000005</v>
      </c>
      <c r="CX7">
        <v>-67.683000000000007</v>
      </c>
      <c r="CY7">
        <v>-64.834999999999994</v>
      </c>
      <c r="CZ7">
        <v>-63.207999999999998</v>
      </c>
      <c r="DA7">
        <v>-62.523000000000003</v>
      </c>
      <c r="DB7">
        <v>-62.222999999999999</v>
      </c>
      <c r="DC7">
        <v>-60.878</v>
      </c>
      <c r="DD7">
        <v>-56.215000000000003</v>
      </c>
      <c r="DE7">
        <v>-46.246000000000002</v>
      </c>
      <c r="DF7">
        <v>-30.792999999999999</v>
      </c>
      <c r="DG7">
        <v>-12.170999999999999</v>
      </c>
      <c r="DH7">
        <v>5.6479999999999997</v>
      </c>
      <c r="DI7">
        <v>18.920000000000002</v>
      </c>
      <c r="DJ7">
        <v>25.928000000000001</v>
      </c>
      <c r="DK7">
        <v>27.731000000000002</v>
      </c>
      <c r="DL7">
        <v>27.57</v>
      </c>
      <c r="DM7">
        <v>29.324999999999999</v>
      </c>
      <c r="DN7">
        <v>35.716999999999999</v>
      </c>
      <c r="DO7">
        <v>47.021999999999998</v>
      </c>
      <c r="DP7">
        <v>60.859000000000002</v>
      </c>
      <c r="DQ7">
        <v>73.209000000000003</v>
      </c>
      <c r="DR7">
        <v>80.233000000000004</v>
      </c>
      <c r="DS7">
        <v>79.948999999999998</v>
      </c>
      <c r="DT7">
        <v>72.921000000000006</v>
      </c>
      <c r="DU7">
        <v>61.801000000000002</v>
      </c>
      <c r="DV7">
        <v>50.222999999999999</v>
      </c>
      <c r="DW7">
        <v>41.704999999999998</v>
      </c>
      <c r="DX7">
        <v>38.777999999999999</v>
      </c>
      <c r="DY7">
        <v>42.231999999999999</v>
      </c>
      <c r="DZ7">
        <v>50.512999999999998</v>
      </c>
      <c r="EA7">
        <v>59.777000000000001</v>
      </c>
      <c r="EB7">
        <v>65.072999999999993</v>
      </c>
      <c r="EC7">
        <v>62.473999999999997</v>
      </c>
      <c r="ED7">
        <v>51.002000000000002</v>
      </c>
      <c r="EE7">
        <v>33.03</v>
      </c>
      <c r="EF7">
        <v>12.782</v>
      </c>
      <c r="EG7">
        <v>-6.07</v>
      </c>
      <c r="EH7">
        <v>-21.991</v>
      </c>
      <c r="EI7">
        <v>-35.302999999999997</v>
      </c>
      <c r="EJ7">
        <v>-46.578000000000003</v>
      </c>
      <c r="EK7">
        <v>-55.302999999999997</v>
      </c>
      <c r="EL7">
        <v>-60.034999999999997</v>
      </c>
      <c r="EM7">
        <v>-59.795999999999999</v>
      </c>
      <c r="EN7">
        <v>-55.323999999999998</v>
      </c>
      <c r="EO7">
        <v>-49.076000000000001</v>
      </c>
      <c r="EP7">
        <v>-44.006</v>
      </c>
      <c r="EQ7">
        <v>-42.084000000000003</v>
      </c>
      <c r="ER7">
        <v>-43.454999999999998</v>
      </c>
      <c r="ES7">
        <v>-46.478000000000002</v>
      </c>
      <c r="ET7">
        <v>-48.392000000000003</v>
      </c>
      <c r="EU7">
        <v>-46.308</v>
      </c>
      <c r="EV7">
        <v>-38.252000000000002</v>
      </c>
      <c r="EW7">
        <v>-23.881</v>
      </c>
      <c r="EX7">
        <v>-4.5049999999999999</v>
      </c>
      <c r="EY7">
        <v>17.588000000000001</v>
      </c>
      <c r="EZ7">
        <v>40.045000000000002</v>
      </c>
      <c r="FA7">
        <v>60.948</v>
      </c>
      <c r="FB7">
        <v>78.692999999999998</v>
      </c>
      <c r="FC7">
        <v>91.622</v>
      </c>
      <c r="FD7">
        <v>98.001000000000005</v>
      </c>
      <c r="FE7">
        <v>96.498999999999995</v>
      </c>
      <c r="FF7">
        <v>86.756</v>
      </c>
      <c r="FG7">
        <v>69.483999999999995</v>
      </c>
      <c r="FH7">
        <v>46.08</v>
      </c>
      <c r="FI7">
        <v>18.234999999999999</v>
      </c>
      <c r="FJ7">
        <v>-11.951000000000001</v>
      </c>
      <c r="FK7">
        <v>-41.488999999999997</v>
      </c>
      <c r="FL7">
        <v>-66.379000000000005</v>
      </c>
      <c r="FM7">
        <v>-82.474000000000004</v>
      </c>
      <c r="FN7">
        <v>-87.173000000000002</v>
      </c>
      <c r="FO7">
        <v>-80.944000000000003</v>
      </c>
      <c r="FP7">
        <v>-67.584999999999994</v>
      </c>
      <c r="FQ7">
        <v>-52.866</v>
      </c>
      <c r="FR7">
        <v>-42.167999999999999</v>
      </c>
      <c r="FS7">
        <v>-38.344000000000001</v>
      </c>
      <c r="FT7">
        <v>-40.917000000000002</v>
      </c>
      <c r="FU7">
        <v>-46.829000000000001</v>
      </c>
      <c r="FV7">
        <v>-52.043999999999997</v>
      </c>
      <c r="FW7">
        <v>-53.073</v>
      </c>
      <c r="FX7">
        <v>-48.033999999999999</v>
      </c>
      <c r="FY7">
        <v>-37.244999999999997</v>
      </c>
      <c r="FZ7">
        <v>-23.16</v>
      </c>
      <c r="GA7">
        <v>-9.3290000000000006</v>
      </c>
      <c r="GB7">
        <v>1.389</v>
      </c>
      <c r="GC7">
        <v>8.3010000000000002</v>
      </c>
      <c r="GD7">
        <v>12.973000000000001</v>
      </c>
      <c r="GE7">
        <v>17.888999999999999</v>
      </c>
      <c r="GF7">
        <v>24.736000000000001</v>
      </c>
      <c r="GG7">
        <v>33.466000000000001</v>
      </c>
      <c r="GH7">
        <v>42.546999999999997</v>
      </c>
      <c r="GI7">
        <v>49.957999999999998</v>
      </c>
      <c r="GJ7">
        <v>54.155000000000001</v>
      </c>
      <c r="GK7">
        <v>54.514000000000003</v>
      </c>
      <c r="GL7">
        <v>51.262999999999998</v>
      </c>
      <c r="GM7">
        <v>45.322000000000003</v>
      </c>
      <c r="GN7">
        <v>38.283000000000001</v>
      </c>
      <c r="GO7">
        <v>32.341999999999999</v>
      </c>
      <c r="GP7">
        <v>29.788</v>
      </c>
      <c r="GQ7">
        <v>31.992000000000001</v>
      </c>
      <c r="GR7">
        <v>38.494999999999997</v>
      </c>
      <c r="GS7">
        <v>46.86</v>
      </c>
      <c r="GT7">
        <v>53.539000000000001</v>
      </c>
      <c r="GU7">
        <v>55.28</v>
      </c>
      <c r="GV7">
        <v>50.357999999999997</v>
      </c>
      <c r="GW7">
        <v>39.085000000000001</v>
      </c>
      <c r="GX7">
        <v>23.468</v>
      </c>
      <c r="GY7">
        <v>6.274</v>
      </c>
      <c r="GZ7">
        <v>-10.016999999999999</v>
      </c>
      <c r="HA7">
        <v>-23.86</v>
      </c>
      <c r="HB7">
        <v>-34.645000000000003</v>
      </c>
      <c r="HC7">
        <v>-42.314999999999998</v>
      </c>
      <c r="HD7">
        <v>-47.05</v>
      </c>
      <c r="HE7">
        <v>-49.314999999999998</v>
      </c>
      <c r="HF7">
        <v>-50.046999999999997</v>
      </c>
      <c r="HG7">
        <v>-50.566000000000003</v>
      </c>
      <c r="HH7">
        <v>-52.015999999999998</v>
      </c>
      <c r="HI7">
        <v>-54.613999999999997</v>
      </c>
      <c r="HJ7">
        <v>-57.268999999999998</v>
      </c>
      <c r="HK7">
        <v>-58.008000000000003</v>
      </c>
      <c r="HL7">
        <v>-55.067</v>
      </c>
      <c r="HM7">
        <v>-47.994</v>
      </c>
      <c r="HN7">
        <v>-38.058</v>
      </c>
      <c r="HO7">
        <v>-27.693999999999999</v>
      </c>
      <c r="HP7">
        <v>-19.343</v>
      </c>
      <c r="HQ7">
        <v>-14.365</v>
      </c>
      <c r="HR7">
        <v>-12.526999999999999</v>
      </c>
      <c r="HS7">
        <v>-12.176</v>
      </c>
      <c r="HT7">
        <v>-10.984999999999999</v>
      </c>
      <c r="HU7">
        <v>-6.9909999999999997</v>
      </c>
      <c r="HV7">
        <v>0.46400000000000002</v>
      </c>
      <c r="HW7">
        <v>10.452</v>
      </c>
      <c r="HX7">
        <v>21.132000000000001</v>
      </c>
      <c r="HY7">
        <v>31.033000000000001</v>
      </c>
      <c r="HZ7">
        <v>40.04</v>
      </c>
      <c r="IA7">
        <v>49.223999999999997</v>
      </c>
      <c r="IB7">
        <v>59.527999999999999</v>
      </c>
      <c r="IC7">
        <v>70.325000000000003</v>
      </c>
      <c r="ID7">
        <v>79.200999999999993</v>
      </c>
      <c r="IE7">
        <v>83.43</v>
      </c>
      <c r="IF7">
        <v>82.082999999999998</v>
      </c>
      <c r="IG7">
        <v>76.918000000000006</v>
      </c>
      <c r="IH7">
        <v>71.129000000000005</v>
      </c>
      <c r="II7">
        <v>66.989999999999995</v>
      </c>
      <c r="IJ7">
        <v>64.349000000000004</v>
      </c>
      <c r="IK7">
        <v>61.048999999999999</v>
      </c>
      <c r="IL7">
        <v>54.566000000000003</v>
      </c>
      <c r="IM7">
        <v>43.375999999999998</v>
      </c>
      <c r="IN7">
        <v>27.266999999999999</v>
      </c>
      <c r="IO7">
        <v>6.9660000000000002</v>
      </c>
      <c r="IP7">
        <v>-16.157</v>
      </c>
      <c r="IQ7">
        <v>-40.136000000000003</v>
      </c>
      <c r="IR7">
        <v>-62.654000000000003</v>
      </c>
      <c r="IS7">
        <v>-81.852000000000004</v>
      </c>
      <c r="IT7">
        <v>-97.433000000000007</v>
      </c>
      <c r="IU7">
        <v>-111.19499999999999</v>
      </c>
      <c r="IV7">
        <v>-126.16800000000001</v>
      </c>
      <c r="IW7">
        <v>-144.11199999999999</v>
      </c>
      <c r="IX7">
        <v>-162.22900000000001</v>
      </c>
      <c r="IY7">
        <v>-171.108</v>
      </c>
      <c r="IZ7">
        <v>-156.512</v>
      </c>
      <c r="JA7">
        <v>-106.42100000000001</v>
      </c>
      <c r="JB7">
        <v>-21.221</v>
      </c>
      <c r="JC7">
        <v>79.796999999999997</v>
      </c>
      <c r="JD7">
        <v>164.41800000000001</v>
      </c>
      <c r="JE7">
        <v>208.309</v>
      </c>
      <c r="JF7">
        <v>213.233</v>
      </c>
      <c r="JG7" t="s">
        <v>77</v>
      </c>
    </row>
    <row r="8" spans="1:267" x14ac:dyDescent="0.4">
      <c r="A8">
        <v>7</v>
      </c>
      <c r="B8">
        <v>34</v>
      </c>
      <c r="C8">
        <v>1</v>
      </c>
      <c r="D8">
        <v>512</v>
      </c>
      <c r="E8">
        <v>0</v>
      </c>
      <c r="F8">
        <v>1691417554</v>
      </c>
      <c r="G8">
        <v>1</v>
      </c>
      <c r="H8" t="s">
        <v>27</v>
      </c>
      <c r="K8" t="s">
        <v>78</v>
      </c>
      <c r="M8">
        <v>4000</v>
      </c>
      <c r="N8">
        <v>30</v>
      </c>
      <c r="O8">
        <v>60</v>
      </c>
      <c r="P8">
        <v>90</v>
      </c>
      <c r="Q8">
        <v>5</v>
      </c>
      <c r="R8">
        <v>2</v>
      </c>
      <c r="S8">
        <v>40.96</v>
      </c>
      <c r="T8">
        <v>244</v>
      </c>
      <c r="U8">
        <v>0</v>
      </c>
      <c r="W8">
        <v>1.1919999999999999</v>
      </c>
      <c r="X8">
        <v>41.079000000000001</v>
      </c>
      <c r="Y8">
        <v>66.385999999999996</v>
      </c>
      <c r="Z8">
        <v>76.340999999999994</v>
      </c>
      <c r="AA8">
        <v>76.436999999999998</v>
      </c>
      <c r="AB8">
        <v>74.418000000000006</v>
      </c>
      <c r="AC8">
        <v>76.037999999999997</v>
      </c>
      <c r="AD8">
        <v>82.820999999999998</v>
      </c>
      <c r="AE8">
        <v>92.286000000000001</v>
      </c>
      <c r="AF8">
        <v>99.736999999999995</v>
      </c>
      <c r="AG8">
        <v>100.426</v>
      </c>
      <c r="AH8">
        <v>91.385999999999996</v>
      </c>
      <c r="AI8">
        <v>72.733000000000004</v>
      </c>
      <c r="AJ8">
        <v>48.161000000000001</v>
      </c>
      <c r="AK8">
        <v>24.093</v>
      </c>
      <c r="AL8">
        <v>7.2770000000000001</v>
      </c>
      <c r="AM8">
        <v>1.698</v>
      </c>
      <c r="AN8">
        <v>6.6059999999999999</v>
      </c>
      <c r="AO8">
        <v>17.071999999999999</v>
      </c>
      <c r="AP8">
        <v>26.905999999999999</v>
      </c>
      <c r="AQ8">
        <v>32.036999999999999</v>
      </c>
      <c r="AR8">
        <v>32.130000000000003</v>
      </c>
      <c r="AS8">
        <v>29.619</v>
      </c>
      <c r="AT8">
        <v>27.259</v>
      </c>
      <c r="AU8">
        <v>26.131</v>
      </c>
      <c r="AV8">
        <v>25.335000000000001</v>
      </c>
      <c r="AW8">
        <v>23.123000000000001</v>
      </c>
      <c r="AX8">
        <v>18.338000000000001</v>
      </c>
      <c r="AY8">
        <v>11.170999999999999</v>
      </c>
      <c r="AZ8">
        <v>2.944</v>
      </c>
      <c r="BA8">
        <v>-4.6970000000000001</v>
      </c>
      <c r="BB8">
        <v>-10.58</v>
      </c>
      <c r="BC8">
        <v>-14.237</v>
      </c>
      <c r="BD8">
        <v>-15.525</v>
      </c>
      <c r="BE8">
        <v>-14.063000000000001</v>
      </c>
      <c r="BF8">
        <v>-9.1669999999999998</v>
      </c>
      <c r="BG8">
        <v>-0.47599999999999998</v>
      </c>
      <c r="BH8">
        <v>11.242000000000001</v>
      </c>
      <c r="BI8">
        <v>23.907</v>
      </c>
      <c r="BJ8">
        <v>34.884</v>
      </c>
      <c r="BK8">
        <v>42.167999999999999</v>
      </c>
      <c r="BL8">
        <v>45.103999999999999</v>
      </c>
      <c r="BM8">
        <v>44.101999999999997</v>
      </c>
      <c r="BN8">
        <v>39.703000000000003</v>
      </c>
      <c r="BO8">
        <v>31.861999999999998</v>
      </c>
      <c r="BP8">
        <v>20.103999999999999</v>
      </c>
      <c r="BQ8">
        <v>4.3730000000000002</v>
      </c>
      <c r="BR8">
        <v>-14.172000000000001</v>
      </c>
      <c r="BS8">
        <v>-33.100999999999999</v>
      </c>
      <c r="BT8">
        <v>-49.45</v>
      </c>
      <c r="BU8">
        <v>-60.703000000000003</v>
      </c>
      <c r="BV8">
        <v>-65.507000000000005</v>
      </c>
      <c r="BW8">
        <v>-64.037999999999997</v>
      </c>
      <c r="BX8">
        <v>-58.271000000000001</v>
      </c>
      <c r="BY8">
        <v>-51.978999999999999</v>
      </c>
      <c r="BZ8">
        <v>-49.84</v>
      </c>
      <c r="CA8">
        <v>-55.366999999999997</v>
      </c>
      <c r="CB8">
        <v>-68.576999999999998</v>
      </c>
      <c r="CC8">
        <v>-85.260999999999996</v>
      </c>
      <c r="CD8">
        <v>-98.875</v>
      </c>
      <c r="CE8">
        <v>-104.066</v>
      </c>
      <c r="CF8">
        <v>-99.334000000000003</v>
      </c>
      <c r="CG8">
        <v>-86.981999999999999</v>
      </c>
      <c r="CH8">
        <v>-70.751999999999995</v>
      </c>
      <c r="CI8">
        <v>-53.329000000000001</v>
      </c>
      <c r="CJ8">
        <v>-35.613999999999997</v>
      </c>
      <c r="CK8">
        <v>-17.826000000000001</v>
      </c>
      <c r="CL8">
        <v>-0.97299999999999998</v>
      </c>
      <c r="CM8">
        <v>12.778</v>
      </c>
      <c r="CN8">
        <v>21.047999999999998</v>
      </c>
      <c r="CO8">
        <v>22.728000000000002</v>
      </c>
      <c r="CP8">
        <v>19.053000000000001</v>
      </c>
      <c r="CQ8">
        <v>13.672000000000001</v>
      </c>
      <c r="CR8">
        <v>11.468</v>
      </c>
      <c r="CS8">
        <v>16.36</v>
      </c>
      <c r="CT8">
        <v>29.06</v>
      </c>
      <c r="CU8">
        <v>46.197000000000003</v>
      </c>
      <c r="CV8">
        <v>61.747</v>
      </c>
      <c r="CW8">
        <v>70.185000000000002</v>
      </c>
      <c r="CX8">
        <v>69.510999999999996</v>
      </c>
      <c r="CY8">
        <v>62.170999999999999</v>
      </c>
      <c r="CZ8">
        <v>53.286000000000001</v>
      </c>
      <c r="DA8">
        <v>47.44</v>
      </c>
      <c r="DB8">
        <v>46.3</v>
      </c>
      <c r="DC8">
        <v>48.552</v>
      </c>
      <c r="DD8">
        <v>51.807000000000002</v>
      </c>
      <c r="DE8">
        <v>54.634</v>
      </c>
      <c r="DF8">
        <v>57.113999999999997</v>
      </c>
      <c r="DG8">
        <v>59.78</v>
      </c>
      <c r="DH8">
        <v>62.213999999999999</v>
      </c>
      <c r="DI8">
        <v>62.68</v>
      </c>
      <c r="DJ8">
        <v>59.180999999999997</v>
      </c>
      <c r="DK8">
        <v>51.045000000000002</v>
      </c>
      <c r="DL8">
        <v>39.746000000000002</v>
      </c>
      <c r="DM8">
        <v>28.297999999999998</v>
      </c>
      <c r="DN8">
        <v>19.649999999999999</v>
      </c>
      <c r="DO8">
        <v>15.135999999999999</v>
      </c>
      <c r="DP8">
        <v>13.831</v>
      </c>
      <c r="DQ8">
        <v>13.065</v>
      </c>
      <c r="DR8">
        <v>9.7509999999999994</v>
      </c>
      <c r="DS8">
        <v>1.831</v>
      </c>
      <c r="DT8">
        <v>-10.867000000000001</v>
      </c>
      <c r="DU8">
        <v>-26.766999999999999</v>
      </c>
      <c r="DV8">
        <v>-43.481000000000002</v>
      </c>
      <c r="DW8">
        <v>-58.901000000000003</v>
      </c>
      <c r="DX8">
        <v>-71.768000000000001</v>
      </c>
      <c r="DY8">
        <v>-81.477000000000004</v>
      </c>
      <c r="DZ8">
        <v>-87.521000000000001</v>
      </c>
      <c r="EA8">
        <v>-89.256</v>
      </c>
      <c r="EB8">
        <v>-86.29</v>
      </c>
      <c r="EC8">
        <v>-79.082999999999998</v>
      </c>
      <c r="ED8">
        <v>-68.978999999999999</v>
      </c>
      <c r="EE8">
        <v>-57.47</v>
      </c>
      <c r="EF8">
        <v>-45.326999999999998</v>
      </c>
      <c r="EG8">
        <v>-32.457999999999998</v>
      </c>
      <c r="EH8">
        <v>-18.687999999999999</v>
      </c>
      <c r="EI8">
        <v>-4.758</v>
      </c>
      <c r="EJ8">
        <v>7.3849999999999998</v>
      </c>
      <c r="EK8">
        <v>15.273</v>
      </c>
      <c r="EL8">
        <v>17.135000000000002</v>
      </c>
      <c r="EM8">
        <v>13.000999999999999</v>
      </c>
      <c r="EN8">
        <v>5.2329999999999997</v>
      </c>
      <c r="EO8">
        <v>-1.81</v>
      </c>
      <c r="EP8">
        <v>-3.1150000000000002</v>
      </c>
      <c r="EQ8">
        <v>4.9740000000000002</v>
      </c>
      <c r="ER8">
        <v>22.907</v>
      </c>
      <c r="ES8">
        <v>47.258000000000003</v>
      </c>
      <c r="ET8">
        <v>71.721999999999994</v>
      </c>
      <c r="EU8">
        <v>89.376000000000005</v>
      </c>
      <c r="EV8">
        <v>95.128</v>
      </c>
      <c r="EW8">
        <v>87.391999999999996</v>
      </c>
      <c r="EX8">
        <v>68.421999999999997</v>
      </c>
      <c r="EY8">
        <v>43.317999999999998</v>
      </c>
      <c r="EZ8">
        <v>18.062000000000001</v>
      </c>
      <c r="FA8">
        <v>-2.6219999999999999</v>
      </c>
      <c r="FB8">
        <v>-16.655000000000001</v>
      </c>
      <c r="FC8">
        <v>-24.667000000000002</v>
      </c>
      <c r="FD8">
        <v>-28.957000000000001</v>
      </c>
      <c r="FE8">
        <v>-32.119999999999997</v>
      </c>
      <c r="FF8">
        <v>-36.049999999999997</v>
      </c>
      <c r="FG8">
        <v>-41.478999999999999</v>
      </c>
      <c r="FH8">
        <v>-47.914999999999999</v>
      </c>
      <c r="FI8">
        <v>-53.834000000000003</v>
      </c>
      <c r="FJ8">
        <v>-57.161999999999999</v>
      </c>
      <c r="FK8">
        <v>-55.993000000000002</v>
      </c>
      <c r="FL8">
        <v>-49.401000000000003</v>
      </c>
      <c r="FM8">
        <v>-38.057000000000002</v>
      </c>
      <c r="FN8">
        <v>-24.359000000000002</v>
      </c>
      <c r="FO8">
        <v>-11.813000000000001</v>
      </c>
      <c r="FP8">
        <v>-3.7349999999999999</v>
      </c>
      <c r="FQ8">
        <v>-1.768</v>
      </c>
      <c r="FR8">
        <v>-5.0229999999999997</v>
      </c>
      <c r="FS8">
        <v>-10.446</v>
      </c>
      <c r="FT8">
        <v>-14.413</v>
      </c>
      <c r="FU8">
        <v>-14.742000000000001</v>
      </c>
      <c r="FV8">
        <v>-11.882999999999999</v>
      </c>
      <c r="FW8">
        <v>-8.3849999999999998</v>
      </c>
      <c r="FX8">
        <v>-6.899</v>
      </c>
      <c r="FY8">
        <v>-8.125</v>
      </c>
      <c r="FZ8">
        <v>-10.289</v>
      </c>
      <c r="GA8">
        <v>-10.507999999999999</v>
      </c>
      <c r="GB8">
        <v>-6.8840000000000003</v>
      </c>
      <c r="GC8">
        <v>0.28999999999999998</v>
      </c>
      <c r="GD8">
        <v>8.8970000000000002</v>
      </c>
      <c r="GE8">
        <v>16.327000000000002</v>
      </c>
      <c r="GF8">
        <v>20.748999999999999</v>
      </c>
      <c r="GG8">
        <v>21.776</v>
      </c>
      <c r="GH8">
        <v>20.530999999999999</v>
      </c>
      <c r="GI8">
        <v>19.184000000000001</v>
      </c>
      <c r="GJ8">
        <v>20.036000000000001</v>
      </c>
      <c r="GK8">
        <v>24.47</v>
      </c>
      <c r="GL8">
        <v>32.308</v>
      </c>
      <c r="GM8">
        <v>41.93</v>
      </c>
      <c r="GN8">
        <v>50.953000000000003</v>
      </c>
      <c r="GO8">
        <v>56.988</v>
      </c>
      <c r="GP8">
        <v>58.192999999999998</v>
      </c>
      <c r="GQ8">
        <v>53.723999999999997</v>
      </c>
      <c r="GR8">
        <v>44.212000000000003</v>
      </c>
      <c r="GS8">
        <v>31.995000000000001</v>
      </c>
      <c r="GT8">
        <v>20.645</v>
      </c>
      <c r="GU8">
        <v>13.692</v>
      </c>
      <c r="GV8">
        <v>13.143000000000001</v>
      </c>
      <c r="GW8">
        <v>18.658999999999999</v>
      </c>
      <c r="GX8">
        <v>27.786000000000001</v>
      </c>
      <c r="GY8">
        <v>36.948999999999998</v>
      </c>
      <c r="GZ8">
        <v>42.524999999999999</v>
      </c>
      <c r="HA8">
        <v>41.628999999999998</v>
      </c>
      <c r="HB8">
        <v>32.749000000000002</v>
      </c>
      <c r="HC8">
        <v>16.390999999999998</v>
      </c>
      <c r="HD8">
        <v>-4.5519999999999996</v>
      </c>
      <c r="HE8">
        <v>-25.298999999999999</v>
      </c>
      <c r="HF8">
        <v>-40.783999999999999</v>
      </c>
      <c r="HG8">
        <v>-47.747</v>
      </c>
      <c r="HH8">
        <v>-46.204000000000001</v>
      </c>
      <c r="HI8">
        <v>-39.387999999999998</v>
      </c>
      <c r="HJ8">
        <v>-32.057000000000002</v>
      </c>
      <c r="HK8">
        <v>-28.045000000000002</v>
      </c>
      <c r="HL8">
        <v>-28.466999999999999</v>
      </c>
      <c r="HM8">
        <v>-31.632999999999999</v>
      </c>
      <c r="HN8">
        <v>-34.600999999999999</v>
      </c>
      <c r="HO8">
        <v>-35.216000000000001</v>
      </c>
      <c r="HP8">
        <v>-33.340000000000003</v>
      </c>
      <c r="HQ8">
        <v>-30.666</v>
      </c>
      <c r="HR8">
        <v>-29.456</v>
      </c>
      <c r="HS8">
        <v>-31.018999999999998</v>
      </c>
      <c r="HT8">
        <v>-34.746000000000002</v>
      </c>
      <c r="HU8">
        <v>-38.231000000000002</v>
      </c>
      <c r="HV8">
        <v>-38.417000000000002</v>
      </c>
      <c r="HW8">
        <v>-33.183999999999997</v>
      </c>
      <c r="HX8">
        <v>-22.492000000000001</v>
      </c>
      <c r="HY8">
        <v>-8.52</v>
      </c>
      <c r="HZ8">
        <v>5.165</v>
      </c>
      <c r="IA8">
        <v>14.926</v>
      </c>
      <c r="IB8">
        <v>18.363</v>
      </c>
      <c r="IC8">
        <v>15.231</v>
      </c>
      <c r="ID8">
        <v>7.5890000000000004</v>
      </c>
      <c r="IE8">
        <v>-1.004</v>
      </c>
      <c r="IF8">
        <v>-6.9950000000000001</v>
      </c>
      <c r="IG8">
        <v>-8.2940000000000005</v>
      </c>
      <c r="IH8">
        <v>-4.9470000000000001</v>
      </c>
      <c r="II8">
        <v>1.2290000000000001</v>
      </c>
      <c r="IJ8">
        <v>7.7279999999999998</v>
      </c>
      <c r="IK8">
        <v>12.605</v>
      </c>
      <c r="IL8">
        <v>15.284000000000001</v>
      </c>
      <c r="IM8">
        <v>16.492999999999999</v>
      </c>
      <c r="IN8">
        <v>17.388000000000002</v>
      </c>
      <c r="IO8">
        <v>18.57</v>
      </c>
      <c r="IP8">
        <v>19.773</v>
      </c>
      <c r="IQ8">
        <v>20.375</v>
      </c>
      <c r="IR8">
        <v>20.097999999999999</v>
      </c>
      <c r="IS8">
        <v>19.239000000000001</v>
      </c>
      <c r="IT8">
        <v>18.419</v>
      </c>
      <c r="IU8">
        <v>18.288</v>
      </c>
      <c r="IV8">
        <v>19.401</v>
      </c>
      <c r="IW8">
        <v>21.983000000000001</v>
      </c>
      <c r="IX8">
        <v>25.399000000000001</v>
      </c>
      <c r="IY8">
        <v>27.696000000000002</v>
      </c>
      <c r="IZ8">
        <v>25.931999999999999</v>
      </c>
      <c r="JA8">
        <v>17.533000000000001</v>
      </c>
      <c r="JB8">
        <v>2.1469999999999998</v>
      </c>
      <c r="JC8">
        <v>-17.286999999999999</v>
      </c>
      <c r="JD8">
        <v>-35.569000000000003</v>
      </c>
      <c r="JE8">
        <v>-48.610999999999997</v>
      </c>
      <c r="JF8">
        <v>-56.326000000000001</v>
      </c>
      <c r="JG8" t="s">
        <v>77</v>
      </c>
    </row>
    <row r="9" spans="1:267" x14ac:dyDescent="0.4">
      <c r="A9">
        <v>8</v>
      </c>
      <c r="B9">
        <v>35</v>
      </c>
      <c r="C9">
        <v>1</v>
      </c>
      <c r="D9">
        <v>512</v>
      </c>
      <c r="E9">
        <v>0</v>
      </c>
      <c r="F9">
        <v>1691417579</v>
      </c>
      <c r="G9">
        <v>1</v>
      </c>
      <c r="H9" t="s">
        <v>27</v>
      </c>
      <c r="K9" t="s">
        <v>78</v>
      </c>
      <c r="M9">
        <v>4000</v>
      </c>
      <c r="N9">
        <v>20</v>
      </c>
      <c r="O9">
        <v>70</v>
      </c>
      <c r="P9">
        <v>90</v>
      </c>
      <c r="Q9">
        <v>5</v>
      </c>
      <c r="R9">
        <v>2</v>
      </c>
      <c r="S9">
        <v>40.96</v>
      </c>
      <c r="T9">
        <v>244</v>
      </c>
      <c r="U9">
        <v>0</v>
      </c>
      <c r="W9">
        <v>40.945</v>
      </c>
      <c r="X9">
        <v>115.548</v>
      </c>
      <c r="Y9">
        <v>164.40299999999999</v>
      </c>
      <c r="Z9">
        <v>183.88200000000001</v>
      </c>
      <c r="AA9">
        <v>180.874</v>
      </c>
      <c r="AB9">
        <v>166.98099999999999</v>
      </c>
      <c r="AC9">
        <v>152.381</v>
      </c>
      <c r="AD9">
        <v>142.67500000000001</v>
      </c>
      <c r="AE9">
        <v>139.09800000000001</v>
      </c>
      <c r="AF9">
        <v>140.38200000000001</v>
      </c>
      <c r="AG9">
        <v>144.48099999999999</v>
      </c>
      <c r="AH9">
        <v>149.435</v>
      </c>
      <c r="AI9">
        <v>153.55199999999999</v>
      </c>
      <c r="AJ9">
        <v>155.363</v>
      </c>
      <c r="AK9">
        <v>153.56100000000001</v>
      </c>
      <c r="AL9">
        <v>147.01499999999999</v>
      </c>
      <c r="AM9">
        <v>135.05799999999999</v>
      </c>
      <c r="AN9">
        <v>118.178</v>
      </c>
      <c r="AO9">
        <v>98.712000000000003</v>
      </c>
      <c r="AP9">
        <v>80.662999999999997</v>
      </c>
      <c r="AQ9">
        <v>68.063999999999993</v>
      </c>
      <c r="AR9">
        <v>62.600999999999999</v>
      </c>
      <c r="AS9">
        <v>62.119</v>
      </c>
      <c r="AT9">
        <v>61.363999999999997</v>
      </c>
      <c r="AU9">
        <v>54.743000000000002</v>
      </c>
      <c r="AV9">
        <v>39.408000000000001</v>
      </c>
      <c r="AW9">
        <v>16.719000000000001</v>
      </c>
      <c r="AX9">
        <v>-8.7759999999999998</v>
      </c>
      <c r="AY9">
        <v>-32.079000000000001</v>
      </c>
      <c r="AZ9">
        <v>-50.326999999999998</v>
      </c>
      <c r="BA9">
        <v>-63.64</v>
      </c>
      <c r="BB9">
        <v>-73.971000000000004</v>
      </c>
      <c r="BC9">
        <v>-83.066999999999993</v>
      </c>
      <c r="BD9">
        <v>-91.096999999999994</v>
      </c>
      <c r="BE9">
        <v>-96.709000000000003</v>
      </c>
      <c r="BF9">
        <v>-98.18</v>
      </c>
      <c r="BG9">
        <v>-94.677999999999997</v>
      </c>
      <c r="BH9">
        <v>-86.837999999999994</v>
      </c>
      <c r="BI9">
        <v>-76.409000000000006</v>
      </c>
      <c r="BJ9">
        <v>-65.346999999999994</v>
      </c>
      <c r="BK9">
        <v>-54.963999999999999</v>
      </c>
      <c r="BL9">
        <v>-45.686</v>
      </c>
      <c r="BM9">
        <v>-37.540999999999997</v>
      </c>
      <c r="BN9">
        <v>-30.998999999999999</v>
      </c>
      <c r="BO9">
        <v>-27.422999999999998</v>
      </c>
      <c r="BP9">
        <v>-28.558</v>
      </c>
      <c r="BQ9">
        <v>-35.200000000000003</v>
      </c>
      <c r="BR9">
        <v>-45.969000000000001</v>
      </c>
      <c r="BS9">
        <v>-57.24</v>
      </c>
      <c r="BT9">
        <v>-64.527000000000001</v>
      </c>
      <c r="BU9">
        <v>-64.576999999999998</v>
      </c>
      <c r="BV9">
        <v>-56.926000000000002</v>
      </c>
      <c r="BW9">
        <v>-44.057000000000002</v>
      </c>
      <c r="BX9">
        <v>-30.178999999999998</v>
      </c>
      <c r="BY9">
        <v>-19.370999999999999</v>
      </c>
      <c r="BZ9">
        <v>-14.06</v>
      </c>
      <c r="CA9">
        <v>-14.388999999999999</v>
      </c>
      <c r="CB9">
        <v>-18.504999999999999</v>
      </c>
      <c r="CC9">
        <v>-23.41</v>
      </c>
      <c r="CD9">
        <v>-26.015999999999998</v>
      </c>
      <c r="CE9">
        <v>-24.135999999999999</v>
      </c>
      <c r="CF9">
        <v>-17.241</v>
      </c>
      <c r="CG9">
        <v>-6.7439999999999998</v>
      </c>
      <c r="CH9">
        <v>4.43</v>
      </c>
      <c r="CI9">
        <v>13</v>
      </c>
      <c r="CJ9">
        <v>16.82</v>
      </c>
      <c r="CK9">
        <v>15.936</v>
      </c>
      <c r="CL9">
        <v>12.516999999999999</v>
      </c>
      <c r="CM9">
        <v>9.6229999999999993</v>
      </c>
      <c r="CN9">
        <v>9.6129999999999995</v>
      </c>
      <c r="CO9">
        <v>13.218999999999999</v>
      </c>
      <c r="CP9">
        <v>19.699000000000002</v>
      </c>
      <c r="CQ9">
        <v>27.58</v>
      </c>
      <c r="CR9">
        <v>35.29</v>
      </c>
      <c r="CS9">
        <v>41.401000000000003</v>
      </c>
      <c r="CT9">
        <v>44.804000000000002</v>
      </c>
      <c r="CU9">
        <v>45.161000000000001</v>
      </c>
      <c r="CV9">
        <v>43.466000000000001</v>
      </c>
      <c r="CW9">
        <v>41.999000000000002</v>
      </c>
      <c r="CX9">
        <v>43.216999999999999</v>
      </c>
      <c r="CY9">
        <v>48.11</v>
      </c>
      <c r="CZ9">
        <v>55.311999999999998</v>
      </c>
      <c r="DA9">
        <v>61.805</v>
      </c>
      <c r="DB9">
        <v>64.715000000000003</v>
      </c>
      <c r="DC9">
        <v>62.787999999999997</v>
      </c>
      <c r="DD9">
        <v>56.594999999999999</v>
      </c>
      <c r="DE9">
        <v>47.722000000000001</v>
      </c>
      <c r="DF9">
        <v>37.911000000000001</v>
      </c>
      <c r="DG9">
        <v>28.794</v>
      </c>
      <c r="DH9">
        <v>21.896999999999998</v>
      </c>
      <c r="DI9">
        <v>18.282</v>
      </c>
      <c r="DJ9">
        <v>17.766999999999999</v>
      </c>
      <c r="DK9">
        <v>18.568000000000001</v>
      </c>
      <c r="DL9">
        <v>18.149999999999999</v>
      </c>
      <c r="DM9">
        <v>15.005000000000001</v>
      </c>
      <c r="DN9">
        <v>9.9600000000000009</v>
      </c>
      <c r="DO9">
        <v>5.7210000000000001</v>
      </c>
      <c r="DP9">
        <v>4.8209999999999997</v>
      </c>
      <c r="DQ9">
        <v>7.5309999999999997</v>
      </c>
      <c r="DR9">
        <v>11.426</v>
      </c>
      <c r="DS9">
        <v>12.927</v>
      </c>
      <c r="DT9">
        <v>9.5039999999999996</v>
      </c>
      <c r="DU9">
        <v>0.84099999999999997</v>
      </c>
      <c r="DV9">
        <v>-11.64</v>
      </c>
      <c r="DW9">
        <v>-26.091000000000001</v>
      </c>
      <c r="DX9">
        <v>-41.228999999999999</v>
      </c>
      <c r="DY9">
        <v>-56.491999999999997</v>
      </c>
      <c r="DZ9">
        <v>-71.64</v>
      </c>
      <c r="EA9">
        <v>-86.26</v>
      </c>
      <c r="EB9">
        <v>-99.414000000000001</v>
      </c>
      <c r="EC9">
        <v>-109.54300000000001</v>
      </c>
      <c r="ED9">
        <v>-114.77</v>
      </c>
      <c r="EE9">
        <v>-113.604</v>
      </c>
      <c r="EF9">
        <v>-105.78100000000001</v>
      </c>
      <c r="EG9">
        <v>-92.771000000000001</v>
      </c>
      <c r="EH9">
        <v>-77.605999999999995</v>
      </c>
      <c r="EI9">
        <v>-63.987000000000002</v>
      </c>
      <c r="EJ9">
        <v>-55.024999999999999</v>
      </c>
      <c r="EK9">
        <v>-52.116</v>
      </c>
      <c r="EL9">
        <v>-54.438000000000002</v>
      </c>
      <c r="EM9">
        <v>-59.234999999999999</v>
      </c>
      <c r="EN9">
        <v>-62.749000000000002</v>
      </c>
      <c r="EO9">
        <v>-61.427</v>
      </c>
      <c r="EP9">
        <v>-52.948</v>
      </c>
      <c r="EQ9">
        <v>-36.825000000000003</v>
      </c>
      <c r="ER9">
        <v>-14.568</v>
      </c>
      <c r="ES9">
        <v>10.51</v>
      </c>
      <c r="ET9">
        <v>33.991</v>
      </c>
      <c r="EU9">
        <v>51.722999999999999</v>
      </c>
      <c r="EV9">
        <v>61.582999999999998</v>
      </c>
      <c r="EW9">
        <v>64.73</v>
      </c>
      <c r="EX9">
        <v>65.251000000000005</v>
      </c>
      <c r="EY9">
        <v>67.923000000000002</v>
      </c>
      <c r="EZ9">
        <v>75.156000000000006</v>
      </c>
      <c r="FA9">
        <v>85.072000000000003</v>
      </c>
      <c r="FB9">
        <v>92.313999999999993</v>
      </c>
      <c r="FC9">
        <v>91.35</v>
      </c>
      <c r="FD9">
        <v>80.231999999999999</v>
      </c>
      <c r="FE9">
        <v>62.243000000000002</v>
      </c>
      <c r="FF9">
        <v>44.298999999999999</v>
      </c>
      <c r="FG9">
        <v>33.234000000000002</v>
      </c>
      <c r="FH9">
        <v>32.414999999999999</v>
      </c>
      <c r="FI9">
        <v>40.651000000000003</v>
      </c>
      <c r="FJ9">
        <v>53.53</v>
      </c>
      <c r="FK9">
        <v>65.849999999999994</v>
      </c>
      <c r="FL9">
        <v>73.575000000000003</v>
      </c>
      <c r="FM9">
        <v>74.659000000000006</v>
      </c>
      <c r="FN9">
        <v>69.08</v>
      </c>
      <c r="FO9">
        <v>58.633000000000003</v>
      </c>
      <c r="FP9">
        <v>46.526000000000003</v>
      </c>
      <c r="FQ9">
        <v>36.442999999999998</v>
      </c>
      <c r="FR9">
        <v>30.960999999999999</v>
      </c>
      <c r="FS9">
        <v>30.050999999999998</v>
      </c>
      <c r="FT9">
        <v>30.853000000000002</v>
      </c>
      <c r="FU9">
        <v>29.308</v>
      </c>
      <c r="FV9">
        <v>22.756</v>
      </c>
      <c r="FW9">
        <v>11.599</v>
      </c>
      <c r="FX9">
        <v>-1.2509999999999999</v>
      </c>
      <c r="FY9">
        <v>-12.542</v>
      </c>
      <c r="FZ9">
        <v>-20.562999999999999</v>
      </c>
      <c r="GA9">
        <v>-25.33</v>
      </c>
      <c r="GB9">
        <v>-27.4</v>
      </c>
      <c r="GC9">
        <v>-26.821000000000002</v>
      </c>
      <c r="GD9">
        <v>-23.353000000000002</v>
      </c>
      <c r="GE9">
        <v>-17.594000000000001</v>
      </c>
      <c r="GF9">
        <v>-11.667</v>
      </c>
      <c r="GG9">
        <v>-8.44</v>
      </c>
      <c r="GH9">
        <v>-9.6890000000000001</v>
      </c>
      <c r="GI9">
        <v>-14.725</v>
      </c>
      <c r="GJ9">
        <v>-20.725999999999999</v>
      </c>
      <c r="GK9">
        <v>-24.616</v>
      </c>
      <c r="GL9">
        <v>-25.094000000000001</v>
      </c>
      <c r="GM9">
        <v>-23.414999999999999</v>
      </c>
      <c r="GN9">
        <v>-22.565000000000001</v>
      </c>
      <c r="GO9">
        <v>-25.477</v>
      </c>
      <c r="GP9">
        <v>-33.290999999999997</v>
      </c>
      <c r="GQ9">
        <v>-44.555</v>
      </c>
      <c r="GR9">
        <v>-55.87</v>
      </c>
      <c r="GS9">
        <v>-63.762999999999998</v>
      </c>
      <c r="GT9">
        <v>-66.721999999999994</v>
      </c>
      <c r="GU9">
        <v>-66.007000000000005</v>
      </c>
      <c r="GV9">
        <v>-64.622</v>
      </c>
      <c r="GW9">
        <v>-65.168999999999997</v>
      </c>
      <c r="GX9">
        <v>-68.123999999999995</v>
      </c>
      <c r="GY9">
        <v>-71.686999999999998</v>
      </c>
      <c r="GZ9">
        <v>-73.186000000000007</v>
      </c>
      <c r="HA9">
        <v>-70.891000000000005</v>
      </c>
      <c r="HB9">
        <v>-64.992999999999995</v>
      </c>
      <c r="HC9">
        <v>-57.298000000000002</v>
      </c>
      <c r="HD9">
        <v>-50.204000000000001</v>
      </c>
      <c r="HE9">
        <v>-45.716999999999999</v>
      </c>
      <c r="HF9">
        <v>-44.783000000000001</v>
      </c>
      <c r="HG9">
        <v>-46.804000000000002</v>
      </c>
      <c r="HH9">
        <v>-49.41</v>
      </c>
      <c r="HI9">
        <v>-48.991999999999997</v>
      </c>
      <c r="HJ9">
        <v>-42.186999999999998</v>
      </c>
      <c r="HK9">
        <v>-27.628</v>
      </c>
      <c r="HL9">
        <v>-6.7839999999999998</v>
      </c>
      <c r="HM9">
        <v>16.707999999999998</v>
      </c>
      <c r="HN9">
        <v>38.758000000000003</v>
      </c>
      <c r="HO9">
        <v>56.512</v>
      </c>
      <c r="HP9">
        <v>69.260000000000005</v>
      </c>
      <c r="HQ9">
        <v>78.331000000000003</v>
      </c>
      <c r="HR9">
        <v>86.174999999999997</v>
      </c>
      <c r="HS9">
        <v>95.037000000000006</v>
      </c>
      <c r="HT9">
        <v>105.782</v>
      </c>
      <c r="HU9">
        <v>117.43</v>
      </c>
      <c r="HV9">
        <v>127.63500000000001</v>
      </c>
      <c r="HW9">
        <v>133.85400000000001</v>
      </c>
      <c r="HX9">
        <v>134.56899999999999</v>
      </c>
      <c r="HY9">
        <v>129.86600000000001</v>
      </c>
      <c r="HZ9">
        <v>120.98399999999999</v>
      </c>
      <c r="IA9">
        <v>109.166</v>
      </c>
      <c r="IB9">
        <v>94.722999999999999</v>
      </c>
      <c r="IC9">
        <v>77.120999999999995</v>
      </c>
      <c r="ID9">
        <v>56.018000000000001</v>
      </c>
      <c r="IE9">
        <v>32.238</v>
      </c>
      <c r="IF9">
        <v>7.7549999999999999</v>
      </c>
      <c r="IG9">
        <v>-15.241</v>
      </c>
      <c r="IH9">
        <v>-35.274999999999999</v>
      </c>
      <c r="II9">
        <v>-51.762999999999998</v>
      </c>
      <c r="IJ9">
        <v>-64.613</v>
      </c>
      <c r="IK9">
        <v>-73.849999999999994</v>
      </c>
      <c r="IL9">
        <v>-79.587999999999994</v>
      </c>
      <c r="IM9">
        <v>-82.084999999999994</v>
      </c>
      <c r="IN9">
        <v>-81.667000000000002</v>
      </c>
      <c r="IO9">
        <v>-78.66</v>
      </c>
      <c r="IP9">
        <v>-73.528999999999996</v>
      </c>
      <c r="IQ9">
        <v>-67.096999999999994</v>
      </c>
      <c r="IR9">
        <v>-60.451999999999998</v>
      </c>
      <c r="IS9">
        <v>-54.445999999999998</v>
      </c>
      <c r="IT9">
        <v>-49.302999999999997</v>
      </c>
      <c r="IU9">
        <v>-44.932000000000002</v>
      </c>
      <c r="IV9">
        <v>-41.750999999999998</v>
      </c>
      <c r="IW9">
        <v>-40.869</v>
      </c>
      <c r="IX9">
        <v>-42.683</v>
      </c>
      <c r="IY9">
        <v>-44.567</v>
      </c>
      <c r="IZ9">
        <v>-40.087000000000003</v>
      </c>
      <c r="JA9">
        <v>-21.922999999999998</v>
      </c>
      <c r="JB9">
        <v>12.095000000000001</v>
      </c>
      <c r="JC9">
        <v>54.170999999999999</v>
      </c>
      <c r="JD9">
        <v>88.718999999999994</v>
      </c>
      <c r="JE9">
        <v>103.15300000000001</v>
      </c>
      <c r="JF9">
        <v>97.856999999999999</v>
      </c>
      <c r="JG9" t="s">
        <v>77</v>
      </c>
    </row>
    <row r="10" spans="1:267" x14ac:dyDescent="0.4">
      <c r="A10">
        <v>9</v>
      </c>
      <c r="B10">
        <v>36</v>
      </c>
      <c r="C10">
        <v>1</v>
      </c>
      <c r="D10">
        <v>512</v>
      </c>
      <c r="E10">
        <v>0</v>
      </c>
      <c r="F10">
        <v>1691417604</v>
      </c>
      <c r="G10">
        <v>1</v>
      </c>
      <c r="H10" t="s">
        <v>27</v>
      </c>
      <c r="K10" t="s">
        <v>78</v>
      </c>
      <c r="M10">
        <v>8000</v>
      </c>
      <c r="N10">
        <v>90</v>
      </c>
      <c r="O10">
        <v>0</v>
      </c>
      <c r="P10">
        <v>90</v>
      </c>
      <c r="Q10">
        <v>5</v>
      </c>
      <c r="R10">
        <v>2</v>
      </c>
      <c r="S10">
        <v>40.96</v>
      </c>
      <c r="T10">
        <v>244</v>
      </c>
      <c r="U10">
        <v>0</v>
      </c>
      <c r="W10">
        <v>8.4030000000000005</v>
      </c>
      <c r="X10">
        <v>32.215000000000003</v>
      </c>
      <c r="Y10">
        <v>43.427</v>
      </c>
      <c r="Z10">
        <v>44.232999999999997</v>
      </c>
      <c r="AA10">
        <v>40.485999999999997</v>
      </c>
      <c r="AB10">
        <v>37.322000000000003</v>
      </c>
      <c r="AC10">
        <v>36.265999999999998</v>
      </c>
      <c r="AD10">
        <v>35.268000000000001</v>
      </c>
      <c r="AE10">
        <v>30.861999999999998</v>
      </c>
      <c r="AF10">
        <v>20.638000000000002</v>
      </c>
      <c r="AG10">
        <v>4.702</v>
      </c>
      <c r="AH10">
        <v>-14.26</v>
      </c>
      <c r="AI10">
        <v>-32.051000000000002</v>
      </c>
      <c r="AJ10">
        <v>-44.572000000000003</v>
      </c>
      <c r="AK10">
        <v>-49.311999999999998</v>
      </c>
      <c r="AL10">
        <v>-46.180999999999997</v>
      </c>
      <c r="AM10">
        <v>-37.408000000000001</v>
      </c>
      <c r="AN10">
        <v>-26.623000000000001</v>
      </c>
      <c r="AO10">
        <v>-17.506</v>
      </c>
      <c r="AP10">
        <v>-12.547000000000001</v>
      </c>
      <c r="AQ10">
        <v>-12.263</v>
      </c>
      <c r="AR10">
        <v>-15.015000000000001</v>
      </c>
      <c r="AS10">
        <v>-17.471</v>
      </c>
      <c r="AT10">
        <v>-15.757</v>
      </c>
      <c r="AU10">
        <v>-7.0990000000000002</v>
      </c>
      <c r="AV10">
        <v>8.7100000000000009</v>
      </c>
      <c r="AW10">
        <v>28.876000000000001</v>
      </c>
      <c r="AX10">
        <v>48.662999999999997</v>
      </c>
      <c r="AY10">
        <v>63.488</v>
      </c>
      <c r="AZ10">
        <v>70.858000000000004</v>
      </c>
      <c r="BA10">
        <v>71.11</v>
      </c>
      <c r="BB10">
        <v>66.721999999999994</v>
      </c>
      <c r="BC10">
        <v>60.914999999999999</v>
      </c>
      <c r="BD10">
        <v>56.442</v>
      </c>
      <c r="BE10">
        <v>54.997999999999998</v>
      </c>
      <c r="BF10">
        <v>57.076999999999998</v>
      </c>
      <c r="BG10">
        <v>61.970999999999997</v>
      </c>
      <c r="BH10">
        <v>67.846999999999994</v>
      </c>
      <c r="BI10">
        <v>72.027000000000001</v>
      </c>
      <c r="BJ10">
        <v>71.596999999999994</v>
      </c>
      <c r="BK10">
        <v>64.346000000000004</v>
      </c>
      <c r="BL10">
        <v>49.768999999999998</v>
      </c>
      <c r="BM10">
        <v>29.695</v>
      </c>
      <c r="BN10">
        <v>8.0210000000000008</v>
      </c>
      <c r="BO10">
        <v>-10.53</v>
      </c>
      <c r="BP10">
        <v>-22.202999999999999</v>
      </c>
      <c r="BQ10">
        <v>-25.759</v>
      </c>
      <c r="BR10">
        <v>-23.045000000000002</v>
      </c>
      <c r="BS10">
        <v>-18.265999999999998</v>
      </c>
      <c r="BT10">
        <v>-16.167000000000002</v>
      </c>
      <c r="BU10">
        <v>-19.895</v>
      </c>
      <c r="BV10">
        <v>-29.613</v>
      </c>
      <c r="BW10">
        <v>-42.551000000000002</v>
      </c>
      <c r="BX10">
        <v>-54.366</v>
      </c>
      <c r="BY10">
        <v>-60.978000000000002</v>
      </c>
      <c r="BZ10">
        <v>-60.13</v>
      </c>
      <c r="CA10">
        <v>-52.32</v>
      </c>
      <c r="CB10">
        <v>-40.899000000000001</v>
      </c>
      <c r="CC10">
        <v>-31.062999999999999</v>
      </c>
      <c r="CD10">
        <v>-27.753</v>
      </c>
      <c r="CE10">
        <v>-33.234999999999999</v>
      </c>
      <c r="CF10">
        <v>-45.625</v>
      </c>
      <c r="CG10">
        <v>-59.356000000000002</v>
      </c>
      <c r="CH10">
        <v>-67.638999999999996</v>
      </c>
      <c r="CI10">
        <v>-65.811999999999998</v>
      </c>
      <c r="CJ10">
        <v>-53.832999999999998</v>
      </c>
      <c r="CK10">
        <v>-36.462000000000003</v>
      </c>
      <c r="CL10">
        <v>-20.832000000000001</v>
      </c>
      <c r="CM10">
        <v>-12.632</v>
      </c>
      <c r="CN10">
        <v>-13.034000000000001</v>
      </c>
      <c r="CO10">
        <v>-18.137</v>
      </c>
      <c r="CP10">
        <v>-21.253</v>
      </c>
      <c r="CQ10">
        <v>-16.672000000000001</v>
      </c>
      <c r="CR10">
        <v>-2.7160000000000002</v>
      </c>
      <c r="CS10">
        <v>17.693000000000001</v>
      </c>
      <c r="CT10">
        <v>39.213000000000001</v>
      </c>
      <c r="CU10">
        <v>57.597000000000001</v>
      </c>
      <c r="CV10">
        <v>72.239000000000004</v>
      </c>
      <c r="CW10">
        <v>86.063999999999993</v>
      </c>
      <c r="CX10">
        <v>102.869</v>
      </c>
      <c r="CY10">
        <v>123.94199999999999</v>
      </c>
      <c r="CZ10">
        <v>146.17500000000001</v>
      </c>
      <c r="DA10">
        <v>162.86500000000001</v>
      </c>
      <c r="DB10">
        <v>166.66</v>
      </c>
      <c r="DC10">
        <v>152.97300000000001</v>
      </c>
      <c r="DD10">
        <v>122.029</v>
      </c>
      <c r="DE10">
        <v>78.664000000000001</v>
      </c>
      <c r="DF10">
        <v>30.332000000000001</v>
      </c>
      <c r="DG10">
        <v>-15.273</v>
      </c>
      <c r="DH10">
        <v>-51.792000000000002</v>
      </c>
      <c r="DI10">
        <v>-74.81</v>
      </c>
      <c r="DJ10">
        <v>-82.16</v>
      </c>
      <c r="DK10">
        <v>-74.432000000000002</v>
      </c>
      <c r="DL10">
        <v>-55.338999999999999</v>
      </c>
      <c r="DM10">
        <v>-31.146999999999998</v>
      </c>
      <c r="DN10">
        <v>-8.8949999999999996</v>
      </c>
      <c r="DO10">
        <v>5.9219999999999997</v>
      </c>
      <c r="DP10">
        <v>11.005000000000001</v>
      </c>
      <c r="DQ10">
        <v>7.391</v>
      </c>
      <c r="DR10">
        <v>-1.8420000000000001</v>
      </c>
      <c r="DS10">
        <v>-13.513999999999999</v>
      </c>
      <c r="DT10">
        <v>-25.858000000000001</v>
      </c>
      <c r="DU10">
        <v>-38.889000000000003</v>
      </c>
      <c r="DV10">
        <v>-53.598999999999997</v>
      </c>
      <c r="DW10">
        <v>-70.596999999999994</v>
      </c>
      <c r="DX10">
        <v>-89.097999999999999</v>
      </c>
      <c r="DY10">
        <v>-106.84099999999999</v>
      </c>
      <c r="DZ10">
        <v>-120.893</v>
      </c>
      <c r="EA10">
        <v>-128.83199999999999</v>
      </c>
      <c r="EB10">
        <v>-129.66399999999999</v>
      </c>
      <c r="EC10">
        <v>-124.093</v>
      </c>
      <c r="ED10">
        <v>-114.062</v>
      </c>
      <c r="EE10">
        <v>-101.874</v>
      </c>
      <c r="EF10">
        <v>-89.322999999999993</v>
      </c>
      <c r="EG10">
        <v>-77.248000000000005</v>
      </c>
      <c r="EH10">
        <v>-65.634</v>
      </c>
      <c r="EI10">
        <v>-54.119</v>
      </c>
      <c r="EJ10">
        <v>-42.588000000000001</v>
      </c>
      <c r="EK10">
        <v>-31.452999999999999</v>
      </c>
      <c r="EL10">
        <v>-21.402999999999999</v>
      </c>
      <c r="EM10">
        <v>-12.797000000000001</v>
      </c>
      <c r="EN10">
        <v>-5.2329999999999997</v>
      </c>
      <c r="EO10">
        <v>2.327</v>
      </c>
      <c r="EP10">
        <v>11.026999999999999</v>
      </c>
      <c r="EQ10">
        <v>21.774000000000001</v>
      </c>
      <c r="ER10">
        <v>35.366</v>
      </c>
      <c r="ES10">
        <v>52.768999999999998</v>
      </c>
      <c r="ET10">
        <v>74.864000000000004</v>
      </c>
      <c r="EU10">
        <v>101.506</v>
      </c>
      <c r="EV10">
        <v>130.49700000000001</v>
      </c>
      <c r="EW10">
        <v>157.345</v>
      </c>
      <c r="EX10">
        <v>176.24299999999999</v>
      </c>
      <c r="EY10">
        <v>181.93899999999999</v>
      </c>
      <c r="EZ10">
        <v>171.685</v>
      </c>
      <c r="FA10">
        <v>146.34700000000001</v>
      </c>
      <c r="FB10">
        <v>110.15300000000001</v>
      </c>
      <c r="FC10">
        <v>69.213999999999999</v>
      </c>
      <c r="FD10">
        <v>29.524999999999999</v>
      </c>
      <c r="FE10">
        <v>-4.6669999999999998</v>
      </c>
      <c r="FF10">
        <v>-31.507999999999999</v>
      </c>
      <c r="FG10">
        <v>-51.18</v>
      </c>
      <c r="FH10">
        <v>-64.994</v>
      </c>
      <c r="FI10">
        <v>-74.563999999999993</v>
      </c>
      <c r="FJ10">
        <v>-81.388999999999996</v>
      </c>
      <c r="FK10">
        <v>-86.710999999999999</v>
      </c>
      <c r="FL10">
        <v>-91.334000000000003</v>
      </c>
      <c r="FM10">
        <v>-95.26</v>
      </c>
      <c r="FN10">
        <v>-97.385999999999996</v>
      </c>
      <c r="FO10">
        <v>-95.677999999999997</v>
      </c>
      <c r="FP10">
        <v>-87.995000000000005</v>
      </c>
      <c r="FQ10">
        <v>-73.234999999999999</v>
      </c>
      <c r="FR10">
        <v>-52.118000000000002</v>
      </c>
      <c r="FS10">
        <v>-27.1</v>
      </c>
      <c r="FT10">
        <v>-1.47</v>
      </c>
      <c r="FU10">
        <v>21.870999999999999</v>
      </c>
      <c r="FV10">
        <v>41.37</v>
      </c>
      <c r="FW10">
        <v>57.194000000000003</v>
      </c>
      <c r="FX10">
        <v>70.894000000000005</v>
      </c>
      <c r="FY10">
        <v>84.459000000000003</v>
      </c>
      <c r="FZ10">
        <v>99.11</v>
      </c>
      <c r="GA10">
        <v>114.38</v>
      </c>
      <c r="GB10">
        <v>128.02600000000001</v>
      </c>
      <c r="GC10">
        <v>136.90799999999999</v>
      </c>
      <c r="GD10">
        <v>138.495</v>
      </c>
      <c r="GE10">
        <v>132.297</v>
      </c>
      <c r="GF10">
        <v>120.444</v>
      </c>
      <c r="GG10">
        <v>106.94</v>
      </c>
      <c r="GH10">
        <v>95.838999999999999</v>
      </c>
      <c r="GI10">
        <v>89.352000000000004</v>
      </c>
      <c r="GJ10">
        <v>86.97</v>
      </c>
      <c r="GK10">
        <v>85.954999999999998</v>
      </c>
      <c r="GL10">
        <v>82.626000000000005</v>
      </c>
      <c r="GM10">
        <v>73.600999999999999</v>
      </c>
      <c r="GN10">
        <v>56.726999999999997</v>
      </c>
      <c r="GO10">
        <v>31.821000000000002</v>
      </c>
      <c r="GP10">
        <v>1.194</v>
      </c>
      <c r="GQ10">
        <v>-30.634</v>
      </c>
      <c r="GR10">
        <v>-58.509</v>
      </c>
      <c r="GS10">
        <v>-79.007000000000005</v>
      </c>
      <c r="GT10">
        <v>-92.078999999999994</v>
      </c>
      <c r="GU10">
        <v>-100.682</v>
      </c>
      <c r="GV10">
        <v>-108.577</v>
      </c>
      <c r="GW10">
        <v>-117.88</v>
      </c>
      <c r="GX10">
        <v>-128.006</v>
      </c>
      <c r="GY10">
        <v>-136.434</v>
      </c>
      <c r="GZ10">
        <v>-140.41300000000001</v>
      </c>
      <c r="HA10">
        <v>-138.43299999999999</v>
      </c>
      <c r="HB10">
        <v>-130.804</v>
      </c>
      <c r="HC10">
        <v>-119.414</v>
      </c>
      <c r="HD10">
        <v>-106.989</v>
      </c>
      <c r="HE10">
        <v>-96.102999999999994</v>
      </c>
      <c r="HF10">
        <v>-88.084999999999994</v>
      </c>
      <c r="HG10">
        <v>-82.233000000000004</v>
      </c>
      <c r="HH10">
        <v>-75.97</v>
      </c>
      <c r="HI10">
        <v>-66.245999999999995</v>
      </c>
      <c r="HJ10">
        <v>-51.5</v>
      </c>
      <c r="HK10">
        <v>-32.853999999999999</v>
      </c>
      <c r="HL10">
        <v>-13.67</v>
      </c>
      <c r="HM10">
        <v>2.2120000000000002</v>
      </c>
      <c r="HN10">
        <v>12.287000000000001</v>
      </c>
      <c r="HO10">
        <v>16.154</v>
      </c>
      <c r="HP10">
        <v>15.077999999999999</v>
      </c>
      <c r="HQ10">
        <v>11.019</v>
      </c>
      <c r="HR10">
        <v>5.8819999999999997</v>
      </c>
      <c r="HS10">
        <v>1.1819999999999999</v>
      </c>
      <c r="HT10">
        <v>-2.1150000000000002</v>
      </c>
      <c r="HU10">
        <v>-3.7530000000000001</v>
      </c>
      <c r="HV10">
        <v>-4.1319999999999997</v>
      </c>
      <c r="HW10">
        <v>-3.7959999999999998</v>
      </c>
      <c r="HX10">
        <v>-2.625</v>
      </c>
      <c r="HY10">
        <v>0.59399999999999997</v>
      </c>
      <c r="HZ10">
        <v>7.5860000000000003</v>
      </c>
      <c r="IA10">
        <v>19.14</v>
      </c>
      <c r="IB10">
        <v>33.86</v>
      </c>
      <c r="IC10">
        <v>48.255000000000003</v>
      </c>
      <c r="ID10">
        <v>58.348999999999997</v>
      </c>
      <c r="IE10">
        <v>61.753999999999998</v>
      </c>
      <c r="IF10">
        <v>58.862000000000002</v>
      </c>
      <c r="IG10">
        <v>52.537999999999997</v>
      </c>
      <c r="IH10">
        <v>46.756</v>
      </c>
      <c r="II10">
        <v>44.97</v>
      </c>
      <c r="IJ10">
        <v>48.813000000000002</v>
      </c>
      <c r="IK10">
        <v>57.421999999999997</v>
      </c>
      <c r="IL10">
        <v>67.614000000000004</v>
      </c>
      <c r="IM10">
        <v>75.010000000000005</v>
      </c>
      <c r="IN10">
        <v>75.745999999999995</v>
      </c>
      <c r="IO10">
        <v>67.978999999999999</v>
      </c>
      <c r="IP10">
        <v>52.494999999999997</v>
      </c>
      <c r="IQ10">
        <v>32.185000000000002</v>
      </c>
      <c r="IR10">
        <v>10.897</v>
      </c>
      <c r="IS10">
        <v>-7.5819999999999999</v>
      </c>
      <c r="IT10">
        <v>-19.882999999999999</v>
      </c>
      <c r="IU10">
        <v>-22.981000000000002</v>
      </c>
      <c r="IV10">
        <v>-14.538</v>
      </c>
      <c r="IW10">
        <v>5.6459999999999999</v>
      </c>
      <c r="IX10">
        <v>33.354999999999997</v>
      </c>
      <c r="IY10">
        <v>58.585000000000001</v>
      </c>
      <c r="IZ10">
        <v>67.429000000000002</v>
      </c>
      <c r="JA10">
        <v>48.314999999999998</v>
      </c>
      <c r="JB10">
        <v>0.40200000000000002</v>
      </c>
      <c r="JC10">
        <v>-61.642000000000003</v>
      </c>
      <c r="JD10">
        <v>-112.977</v>
      </c>
      <c r="JE10">
        <v>-134.738</v>
      </c>
      <c r="JF10">
        <v>-127.473</v>
      </c>
      <c r="JG10" t="s">
        <v>77</v>
      </c>
    </row>
    <row r="11" spans="1:267" x14ac:dyDescent="0.4">
      <c r="A11">
        <v>10</v>
      </c>
      <c r="B11">
        <v>37</v>
      </c>
      <c r="C11">
        <v>1</v>
      </c>
      <c r="D11">
        <v>512</v>
      </c>
      <c r="E11">
        <v>0</v>
      </c>
      <c r="F11">
        <v>1691417628</v>
      </c>
      <c r="G11">
        <v>1</v>
      </c>
      <c r="H11" t="s">
        <v>27</v>
      </c>
      <c r="K11" t="s">
        <v>78</v>
      </c>
      <c r="M11">
        <v>8000</v>
      </c>
      <c r="N11">
        <v>80</v>
      </c>
      <c r="O11">
        <v>10</v>
      </c>
      <c r="P11">
        <v>90</v>
      </c>
      <c r="Q11">
        <v>5</v>
      </c>
      <c r="R11">
        <v>2</v>
      </c>
      <c r="S11">
        <v>40.96</v>
      </c>
      <c r="T11">
        <v>244</v>
      </c>
      <c r="U11">
        <v>0</v>
      </c>
      <c r="W11">
        <v>-2.911</v>
      </c>
      <c r="X11">
        <v>-4.01</v>
      </c>
      <c r="Y11">
        <v>1.3280000000000001</v>
      </c>
      <c r="Z11">
        <v>8.6110000000000007</v>
      </c>
      <c r="AA11">
        <v>12.385999999999999</v>
      </c>
      <c r="AB11">
        <v>9.6219999999999999</v>
      </c>
      <c r="AC11">
        <v>1.3240000000000001</v>
      </c>
      <c r="AD11">
        <v>-8.5990000000000002</v>
      </c>
      <c r="AE11">
        <v>-16.213999999999999</v>
      </c>
      <c r="AF11">
        <v>-20.059999999999999</v>
      </c>
      <c r="AG11">
        <v>-21.69</v>
      </c>
      <c r="AH11">
        <v>-24.216999999999999</v>
      </c>
      <c r="AI11">
        <v>-30.151</v>
      </c>
      <c r="AJ11">
        <v>-39.92</v>
      </c>
      <c r="AK11">
        <v>-51.701999999999998</v>
      </c>
      <c r="AL11">
        <v>-62.353000000000002</v>
      </c>
      <c r="AM11">
        <v>-68.863</v>
      </c>
      <c r="AN11">
        <v>-69.688999999999993</v>
      </c>
      <c r="AO11">
        <v>-65.382999999999996</v>
      </c>
      <c r="AP11">
        <v>-58.192</v>
      </c>
      <c r="AQ11">
        <v>-50.802999999999997</v>
      </c>
      <c r="AR11">
        <v>-44.933999999999997</v>
      </c>
      <c r="AS11">
        <v>-40.652000000000001</v>
      </c>
      <c r="AT11">
        <v>-36.823999999999998</v>
      </c>
      <c r="AU11">
        <v>-32.244</v>
      </c>
      <c r="AV11">
        <v>-26.481999999999999</v>
      </c>
      <c r="AW11">
        <v>-19.835000000000001</v>
      </c>
      <c r="AX11">
        <v>-12.734</v>
      </c>
      <c r="AY11">
        <v>-5.3680000000000003</v>
      </c>
      <c r="AZ11">
        <v>2.1440000000000001</v>
      </c>
      <c r="BA11">
        <v>9.5250000000000004</v>
      </c>
      <c r="BB11">
        <v>16.527999999999999</v>
      </c>
      <c r="BC11">
        <v>23.300999999999998</v>
      </c>
      <c r="BD11">
        <v>30.338999999999999</v>
      </c>
      <c r="BE11">
        <v>37.856999999999999</v>
      </c>
      <c r="BF11">
        <v>45.17</v>
      </c>
      <c r="BG11">
        <v>50.607999999999997</v>
      </c>
      <c r="BH11">
        <v>52.042999999999999</v>
      </c>
      <c r="BI11">
        <v>47.692</v>
      </c>
      <c r="BJ11">
        <v>36.948</v>
      </c>
      <c r="BK11">
        <v>21.111000000000001</v>
      </c>
      <c r="BL11">
        <v>3.6989999999999998</v>
      </c>
      <c r="BM11">
        <v>-10.173999999999999</v>
      </c>
      <c r="BN11">
        <v>-15.568</v>
      </c>
      <c r="BO11">
        <v>-10.053000000000001</v>
      </c>
      <c r="BP11">
        <v>4.774</v>
      </c>
      <c r="BQ11">
        <v>23.826000000000001</v>
      </c>
      <c r="BR11">
        <v>41.12</v>
      </c>
      <c r="BS11">
        <v>52.857999999999997</v>
      </c>
      <c r="BT11">
        <v>58.954999999999998</v>
      </c>
      <c r="BU11">
        <v>62.033000000000001</v>
      </c>
      <c r="BV11">
        <v>64.760000000000005</v>
      </c>
      <c r="BW11">
        <v>67.546000000000006</v>
      </c>
      <c r="BX11">
        <v>68.162000000000006</v>
      </c>
      <c r="BY11">
        <v>63.377000000000002</v>
      </c>
      <c r="BZ11">
        <v>51.311999999999998</v>
      </c>
      <c r="CA11">
        <v>32.933</v>
      </c>
      <c r="CB11">
        <v>11.887</v>
      </c>
      <c r="CC11">
        <v>-7.0620000000000003</v>
      </c>
      <c r="CD11">
        <v>-20.067</v>
      </c>
      <c r="CE11">
        <v>-25.677</v>
      </c>
      <c r="CF11">
        <v>-25.167000000000002</v>
      </c>
      <c r="CG11">
        <v>-21.693999999999999</v>
      </c>
      <c r="CH11">
        <v>-18.79</v>
      </c>
      <c r="CI11">
        <v>-18.923999999999999</v>
      </c>
      <c r="CJ11">
        <v>-22.762</v>
      </c>
      <c r="CK11">
        <v>-29.369</v>
      </c>
      <c r="CL11">
        <v>-37.079000000000001</v>
      </c>
      <c r="CM11">
        <v>-44.406999999999996</v>
      </c>
      <c r="CN11">
        <v>-50.405999999999999</v>
      </c>
      <c r="CO11">
        <v>-54.366999999999997</v>
      </c>
      <c r="CP11">
        <v>-55.371000000000002</v>
      </c>
      <c r="CQ11">
        <v>-52.33</v>
      </c>
      <c r="CR11">
        <v>-44.640999999999998</v>
      </c>
      <c r="CS11">
        <v>-32.908000000000001</v>
      </c>
      <c r="CT11">
        <v>-18.963000000000001</v>
      </c>
      <c r="CU11">
        <v>-5.1050000000000004</v>
      </c>
      <c r="CV11">
        <v>6.8220000000000001</v>
      </c>
      <c r="CW11">
        <v>15.738</v>
      </c>
      <c r="CX11">
        <v>20.928999999999998</v>
      </c>
      <c r="CY11">
        <v>21.581</v>
      </c>
      <c r="CZ11">
        <v>16.975000000000001</v>
      </c>
      <c r="DA11">
        <v>7.3769999999999998</v>
      </c>
      <c r="DB11">
        <v>-5.0640000000000001</v>
      </c>
      <c r="DC11">
        <v>-16.335999999999999</v>
      </c>
      <c r="DD11">
        <v>-21.937000000000001</v>
      </c>
      <c r="DE11">
        <v>-19.039000000000001</v>
      </c>
      <c r="DF11">
        <v>-8.1449999999999996</v>
      </c>
      <c r="DG11">
        <v>6.9580000000000002</v>
      </c>
      <c r="DH11">
        <v>21.082999999999998</v>
      </c>
      <c r="DI11">
        <v>30.222000000000001</v>
      </c>
      <c r="DJ11">
        <v>33.219000000000001</v>
      </c>
      <c r="DK11">
        <v>31.547000000000001</v>
      </c>
      <c r="DL11">
        <v>27.456</v>
      </c>
      <c r="DM11">
        <v>21.905999999999999</v>
      </c>
      <c r="DN11">
        <v>13.878</v>
      </c>
      <c r="DO11">
        <v>1.6759999999999999</v>
      </c>
      <c r="DP11">
        <v>-14.769</v>
      </c>
      <c r="DQ11">
        <v>-32.478999999999999</v>
      </c>
      <c r="DR11">
        <v>-46.195</v>
      </c>
      <c r="DS11">
        <v>-51.055999999999997</v>
      </c>
      <c r="DT11">
        <v>-45.462000000000003</v>
      </c>
      <c r="DU11">
        <v>-32.155000000000001</v>
      </c>
      <c r="DV11">
        <v>-16.707000000000001</v>
      </c>
      <c r="DW11">
        <v>-4.4260000000000002</v>
      </c>
      <c r="DX11">
        <v>2.1549999999999998</v>
      </c>
      <c r="DY11">
        <v>3.593</v>
      </c>
      <c r="DZ11">
        <v>1.867</v>
      </c>
      <c r="EA11">
        <v>-1.5780000000000001</v>
      </c>
      <c r="EB11">
        <v>-6.4720000000000004</v>
      </c>
      <c r="EC11">
        <v>-12.913</v>
      </c>
      <c r="ED11">
        <v>-20.257999999999999</v>
      </c>
      <c r="EE11">
        <v>-26.917999999999999</v>
      </c>
      <c r="EF11">
        <v>-31.271000000000001</v>
      </c>
      <c r="EG11">
        <v>-32.872</v>
      </c>
      <c r="EH11">
        <v>-32.845999999999997</v>
      </c>
      <c r="EI11">
        <v>-33.012999999999998</v>
      </c>
      <c r="EJ11">
        <v>-34.314</v>
      </c>
      <c r="EK11">
        <v>-35.749000000000002</v>
      </c>
      <c r="EL11">
        <v>-34.786999999999999</v>
      </c>
      <c r="EM11">
        <v>-29.11</v>
      </c>
      <c r="EN11">
        <v>-18.489000000000001</v>
      </c>
      <c r="EO11">
        <v>-5.3540000000000001</v>
      </c>
      <c r="EP11">
        <v>6.4939999999999998</v>
      </c>
      <c r="EQ11">
        <v>14.202999999999999</v>
      </c>
      <c r="ER11">
        <v>17.649000000000001</v>
      </c>
      <c r="ES11">
        <v>19.449000000000002</v>
      </c>
      <c r="ET11">
        <v>23.169</v>
      </c>
      <c r="EU11">
        <v>30.835000000000001</v>
      </c>
      <c r="EV11">
        <v>41.280999999999999</v>
      </c>
      <c r="EW11">
        <v>50.475000000000001</v>
      </c>
      <c r="EX11">
        <v>53.783999999999999</v>
      </c>
      <c r="EY11">
        <v>48.901000000000003</v>
      </c>
      <c r="EZ11">
        <v>37.555</v>
      </c>
      <c r="FA11">
        <v>24.913</v>
      </c>
      <c r="FB11">
        <v>17.131</v>
      </c>
      <c r="FC11">
        <v>18.599</v>
      </c>
      <c r="FD11">
        <v>30.329000000000001</v>
      </c>
      <c r="FE11">
        <v>49.901000000000003</v>
      </c>
      <c r="FF11">
        <v>72.61</v>
      </c>
      <c r="FG11">
        <v>93.153999999999996</v>
      </c>
      <c r="FH11">
        <v>107.27200000000001</v>
      </c>
      <c r="FI11">
        <v>112.79</v>
      </c>
      <c r="FJ11">
        <v>109.678</v>
      </c>
      <c r="FK11">
        <v>99.3</v>
      </c>
      <c r="FL11">
        <v>83.563000000000002</v>
      </c>
      <c r="FM11">
        <v>64.546000000000006</v>
      </c>
      <c r="FN11">
        <v>44.523000000000003</v>
      </c>
      <c r="FO11">
        <v>25.803999999999998</v>
      </c>
      <c r="FP11">
        <v>10.074</v>
      </c>
      <c r="FQ11">
        <v>-2.3330000000000002</v>
      </c>
      <c r="FR11">
        <v>-12.577999999999999</v>
      </c>
      <c r="FS11">
        <v>-22.573</v>
      </c>
      <c r="FT11">
        <v>-33.798999999999999</v>
      </c>
      <c r="FU11">
        <v>-46.390999999999998</v>
      </c>
      <c r="FV11">
        <v>-58.991999999999997</v>
      </c>
      <c r="FW11">
        <v>-69.408000000000001</v>
      </c>
      <c r="FX11">
        <v>-75.77</v>
      </c>
      <c r="FY11">
        <v>-77.653999999999996</v>
      </c>
      <c r="FZ11">
        <v>-76.501000000000005</v>
      </c>
      <c r="GA11">
        <v>-74.971000000000004</v>
      </c>
      <c r="GB11">
        <v>-75.542000000000002</v>
      </c>
      <c r="GC11">
        <v>-79.236000000000004</v>
      </c>
      <c r="GD11">
        <v>-85.15</v>
      </c>
      <c r="GE11">
        <v>-90.838999999999999</v>
      </c>
      <c r="GF11">
        <v>-93.111000000000004</v>
      </c>
      <c r="GG11">
        <v>-88.896000000000001</v>
      </c>
      <c r="GH11">
        <v>-76.091999999999999</v>
      </c>
      <c r="GI11">
        <v>-54.302</v>
      </c>
      <c r="GJ11">
        <v>-25.228999999999999</v>
      </c>
      <c r="GK11">
        <v>7.4450000000000003</v>
      </c>
      <c r="GL11">
        <v>38.639000000000003</v>
      </c>
      <c r="GM11">
        <v>62.844999999999999</v>
      </c>
      <c r="GN11">
        <v>75.436999999999998</v>
      </c>
      <c r="GO11">
        <v>74.141000000000005</v>
      </c>
      <c r="GP11">
        <v>60.04</v>
      </c>
      <c r="GQ11">
        <v>37.460999999999999</v>
      </c>
      <c r="GR11">
        <v>12.576000000000001</v>
      </c>
      <c r="GS11">
        <v>-8.6820000000000004</v>
      </c>
      <c r="GT11">
        <v>-22.478000000000002</v>
      </c>
      <c r="GU11">
        <v>-27.925000000000001</v>
      </c>
      <c r="GV11">
        <v>-26.655999999999999</v>
      </c>
      <c r="GW11">
        <v>-21.402000000000001</v>
      </c>
      <c r="GX11">
        <v>-14.433999999999999</v>
      </c>
      <c r="GY11">
        <v>-6.7519999999999998</v>
      </c>
      <c r="GZ11">
        <v>1.58</v>
      </c>
      <c r="HA11">
        <v>10.419</v>
      </c>
      <c r="HB11">
        <v>18.696000000000002</v>
      </c>
      <c r="HC11">
        <v>24.361000000000001</v>
      </c>
      <c r="HD11">
        <v>25.193999999999999</v>
      </c>
      <c r="HE11">
        <v>20.029</v>
      </c>
      <c r="HF11">
        <v>9.7149999999999999</v>
      </c>
      <c r="HG11">
        <v>-2.8559999999999999</v>
      </c>
      <c r="HH11">
        <v>-13.843</v>
      </c>
      <c r="HI11">
        <v>-20.228000000000002</v>
      </c>
      <c r="HJ11">
        <v>-21.227</v>
      </c>
      <c r="HK11">
        <v>-18.431999999999999</v>
      </c>
      <c r="HL11">
        <v>-14.53</v>
      </c>
      <c r="HM11">
        <v>-11.422000000000001</v>
      </c>
      <c r="HN11">
        <v>-8.9689999999999994</v>
      </c>
      <c r="HO11">
        <v>-5.2560000000000002</v>
      </c>
      <c r="HP11">
        <v>1.7569999999999999</v>
      </c>
      <c r="HQ11">
        <v>12.215</v>
      </c>
      <c r="HR11">
        <v>23.292000000000002</v>
      </c>
      <c r="HS11">
        <v>29.837</v>
      </c>
      <c r="HT11">
        <v>26.619</v>
      </c>
      <c r="HU11">
        <v>11.228999999999999</v>
      </c>
      <c r="HV11">
        <v>-13.785</v>
      </c>
      <c r="HW11">
        <v>-40.895000000000003</v>
      </c>
      <c r="HX11">
        <v>-60.145000000000003</v>
      </c>
      <c r="HY11">
        <v>-63.341999999999999</v>
      </c>
      <c r="HZ11">
        <v>-47.811999999999998</v>
      </c>
      <c r="IA11">
        <v>-17.68</v>
      </c>
      <c r="IB11">
        <v>18.058</v>
      </c>
      <c r="IC11">
        <v>49.597999999999999</v>
      </c>
      <c r="ID11">
        <v>70.31</v>
      </c>
      <c r="IE11">
        <v>78.599000000000004</v>
      </c>
      <c r="IF11">
        <v>76.986000000000004</v>
      </c>
      <c r="IG11">
        <v>69.483999999999995</v>
      </c>
      <c r="IH11">
        <v>59.177999999999997</v>
      </c>
      <c r="II11">
        <v>47.448999999999998</v>
      </c>
      <c r="IJ11">
        <v>34.752000000000002</v>
      </c>
      <c r="IK11">
        <v>21.760999999999999</v>
      </c>
      <c r="IL11">
        <v>9.7119999999999997</v>
      </c>
      <c r="IM11">
        <v>-0.14599999999999999</v>
      </c>
      <c r="IN11">
        <v>-7.2009999999999996</v>
      </c>
      <c r="IO11">
        <v>-11.481</v>
      </c>
      <c r="IP11">
        <v>-13.114000000000001</v>
      </c>
      <c r="IQ11">
        <v>-11.933999999999999</v>
      </c>
      <c r="IR11">
        <v>-7.7750000000000004</v>
      </c>
      <c r="IS11">
        <v>-1.3240000000000001</v>
      </c>
      <c r="IT11">
        <v>5.0570000000000004</v>
      </c>
      <c r="IU11">
        <v>7.2939999999999996</v>
      </c>
      <c r="IV11">
        <v>0.83499999999999996</v>
      </c>
      <c r="IW11">
        <v>-16.893000000000001</v>
      </c>
      <c r="IX11">
        <v>-43.817999999999998</v>
      </c>
      <c r="IY11">
        <v>-72.061000000000007</v>
      </c>
      <c r="IZ11">
        <v>-89.789000000000001</v>
      </c>
      <c r="JA11">
        <v>-86.224999999999994</v>
      </c>
      <c r="JB11">
        <v>-57.965000000000003</v>
      </c>
      <c r="JC11">
        <v>-12.743</v>
      </c>
      <c r="JD11">
        <v>33.488</v>
      </c>
      <c r="JE11">
        <v>67.084000000000003</v>
      </c>
      <c r="JF11">
        <v>86.385999999999996</v>
      </c>
      <c r="JG11" t="s">
        <v>77</v>
      </c>
    </row>
    <row r="12" spans="1:267" x14ac:dyDescent="0.4">
      <c r="A12">
        <v>11</v>
      </c>
      <c r="B12">
        <v>38</v>
      </c>
      <c r="C12">
        <v>1</v>
      </c>
      <c r="D12">
        <v>512</v>
      </c>
      <c r="E12">
        <v>0</v>
      </c>
      <c r="F12">
        <v>1691417653</v>
      </c>
      <c r="G12">
        <v>1</v>
      </c>
      <c r="H12" t="s">
        <v>27</v>
      </c>
      <c r="K12" t="s">
        <v>78</v>
      </c>
      <c r="M12">
        <v>8000</v>
      </c>
      <c r="N12">
        <v>70</v>
      </c>
      <c r="O12">
        <v>20</v>
      </c>
      <c r="P12">
        <v>90</v>
      </c>
      <c r="Q12">
        <v>5</v>
      </c>
      <c r="R12">
        <v>2</v>
      </c>
      <c r="S12">
        <v>40.96</v>
      </c>
      <c r="T12">
        <v>244</v>
      </c>
      <c r="U12">
        <v>0</v>
      </c>
      <c r="W12">
        <v>-34.710999999999999</v>
      </c>
      <c r="X12">
        <v>-99.622</v>
      </c>
      <c r="Y12">
        <v>-135.79599999999999</v>
      </c>
      <c r="Z12">
        <v>-141.75200000000001</v>
      </c>
      <c r="AA12">
        <v>-127.752</v>
      </c>
      <c r="AB12">
        <v>-108.673</v>
      </c>
      <c r="AC12">
        <v>-96.021000000000001</v>
      </c>
      <c r="AD12">
        <v>-93.566999999999993</v>
      </c>
      <c r="AE12">
        <v>-97.997</v>
      </c>
      <c r="AF12">
        <v>-102.965</v>
      </c>
      <c r="AG12">
        <v>-103.489</v>
      </c>
      <c r="AH12">
        <v>-98.284999999999997</v>
      </c>
      <c r="AI12">
        <v>-89.373000000000005</v>
      </c>
      <c r="AJ12">
        <v>-80.034000000000006</v>
      </c>
      <c r="AK12">
        <v>-72.698999999999998</v>
      </c>
      <c r="AL12">
        <v>-67.876000000000005</v>
      </c>
      <c r="AM12">
        <v>-64.34</v>
      </c>
      <c r="AN12">
        <v>-60.271000000000001</v>
      </c>
      <c r="AO12">
        <v>-54.677</v>
      </c>
      <c r="AP12">
        <v>-48.331000000000003</v>
      </c>
      <c r="AQ12">
        <v>-43.576999999999998</v>
      </c>
      <c r="AR12">
        <v>-43.067</v>
      </c>
      <c r="AS12">
        <v>-48.219000000000001</v>
      </c>
      <c r="AT12">
        <v>-58.314999999999998</v>
      </c>
      <c r="AU12">
        <v>-70.632000000000005</v>
      </c>
      <c r="AV12">
        <v>-81.311999999999998</v>
      </c>
      <c r="AW12">
        <v>-86.581000000000003</v>
      </c>
      <c r="AX12">
        <v>-83.992000000000004</v>
      </c>
      <c r="AY12">
        <v>-73.373999999999995</v>
      </c>
      <c r="AZ12">
        <v>-56.942</v>
      </c>
      <c r="BA12">
        <v>-38.228999999999999</v>
      </c>
      <c r="BB12">
        <v>-20.271000000000001</v>
      </c>
      <c r="BC12">
        <v>-4.1840000000000002</v>
      </c>
      <c r="BD12">
        <v>10.836</v>
      </c>
      <c r="BE12">
        <v>26.134</v>
      </c>
      <c r="BF12">
        <v>41.953000000000003</v>
      </c>
      <c r="BG12">
        <v>56.795000000000002</v>
      </c>
      <c r="BH12">
        <v>68.224000000000004</v>
      </c>
      <c r="BI12">
        <v>74.367000000000004</v>
      </c>
      <c r="BJ12">
        <v>74.951999999999998</v>
      </c>
      <c r="BK12">
        <v>71.212000000000003</v>
      </c>
      <c r="BL12">
        <v>65.016000000000005</v>
      </c>
      <c r="BM12">
        <v>58.136000000000003</v>
      </c>
      <c r="BN12">
        <v>52.158000000000001</v>
      </c>
      <c r="BO12">
        <v>48.639000000000003</v>
      </c>
      <c r="BP12">
        <v>48.758000000000003</v>
      </c>
      <c r="BQ12">
        <v>52.393000000000001</v>
      </c>
      <c r="BR12">
        <v>57.505000000000003</v>
      </c>
      <c r="BS12">
        <v>60.789000000000001</v>
      </c>
      <c r="BT12">
        <v>59.517000000000003</v>
      </c>
      <c r="BU12">
        <v>53.381999999999998</v>
      </c>
      <c r="BV12">
        <v>44.988999999999997</v>
      </c>
      <c r="BW12">
        <v>38.537999999999997</v>
      </c>
      <c r="BX12">
        <v>37.484999999999999</v>
      </c>
      <c r="BY12">
        <v>42.616999999999997</v>
      </c>
      <c r="BZ12">
        <v>51.71</v>
      </c>
      <c r="CA12">
        <v>60.887999999999998</v>
      </c>
      <c r="CB12">
        <v>66.664000000000001</v>
      </c>
      <c r="CC12">
        <v>67.317999999999998</v>
      </c>
      <c r="CD12">
        <v>62.965000000000003</v>
      </c>
      <c r="CE12">
        <v>54.737000000000002</v>
      </c>
      <c r="CF12">
        <v>43.898000000000003</v>
      </c>
      <c r="CG12">
        <v>31.443000000000001</v>
      </c>
      <c r="CH12">
        <v>18.158000000000001</v>
      </c>
      <c r="CI12">
        <v>4.8419999999999996</v>
      </c>
      <c r="CJ12">
        <v>-7.5949999999999998</v>
      </c>
      <c r="CK12">
        <v>-18.268000000000001</v>
      </c>
      <c r="CL12">
        <v>-26.632999999999999</v>
      </c>
      <c r="CM12">
        <v>-32.840000000000003</v>
      </c>
      <c r="CN12">
        <v>-37.860999999999997</v>
      </c>
      <c r="CO12">
        <v>-43.173000000000002</v>
      </c>
      <c r="CP12">
        <v>-50.003999999999998</v>
      </c>
      <c r="CQ12">
        <v>-58.557000000000002</v>
      </c>
      <c r="CR12">
        <v>-67.713999999999999</v>
      </c>
      <c r="CS12">
        <v>-75.492999999999995</v>
      </c>
      <c r="CT12">
        <v>-80.06</v>
      </c>
      <c r="CU12">
        <v>-80.728999999999999</v>
      </c>
      <c r="CV12">
        <v>-78.361000000000004</v>
      </c>
      <c r="CW12">
        <v>-74.903000000000006</v>
      </c>
      <c r="CX12">
        <v>-72.311000000000007</v>
      </c>
      <c r="CY12">
        <v>-71.394999999999996</v>
      </c>
      <c r="CZ12">
        <v>-71.137</v>
      </c>
      <c r="DA12">
        <v>-68.947999999999993</v>
      </c>
      <c r="DB12">
        <v>-61.954999999999998</v>
      </c>
      <c r="DC12">
        <v>-48.86</v>
      </c>
      <c r="DD12">
        <v>-31.27</v>
      </c>
      <c r="DE12">
        <v>-13.436</v>
      </c>
      <c r="DF12">
        <v>-0.185</v>
      </c>
      <c r="DG12">
        <v>5.8239999999999998</v>
      </c>
      <c r="DH12">
        <v>5.6269999999999998</v>
      </c>
      <c r="DI12">
        <v>3.0390000000000001</v>
      </c>
      <c r="DJ12">
        <v>1.853</v>
      </c>
      <c r="DK12">
        <v>3.2189999999999999</v>
      </c>
      <c r="DL12">
        <v>5.2389999999999999</v>
      </c>
      <c r="DM12">
        <v>5.0590000000000002</v>
      </c>
      <c r="DN12">
        <v>1.7290000000000001</v>
      </c>
      <c r="DO12">
        <v>-2.484</v>
      </c>
      <c r="DP12">
        <v>-3.375</v>
      </c>
      <c r="DQ12">
        <v>2.3660000000000001</v>
      </c>
      <c r="DR12">
        <v>14.837999999999999</v>
      </c>
      <c r="DS12">
        <v>30.663</v>
      </c>
      <c r="DT12">
        <v>44.765999999999998</v>
      </c>
      <c r="DU12">
        <v>53.02</v>
      </c>
      <c r="DV12">
        <v>54.274000000000001</v>
      </c>
      <c r="DW12">
        <v>50.780999999999999</v>
      </c>
      <c r="DX12">
        <v>46.886000000000003</v>
      </c>
      <c r="DY12">
        <v>46.694000000000003</v>
      </c>
      <c r="DZ12">
        <v>51.969000000000001</v>
      </c>
      <c r="EA12">
        <v>61.357999999999997</v>
      </c>
      <c r="EB12">
        <v>71.23</v>
      </c>
      <c r="EC12">
        <v>77.484999999999999</v>
      </c>
      <c r="ED12">
        <v>77.319999999999993</v>
      </c>
      <c r="EE12">
        <v>70.209000000000003</v>
      </c>
      <c r="EF12">
        <v>57.963999999999999</v>
      </c>
      <c r="EG12">
        <v>44.055</v>
      </c>
      <c r="EH12">
        <v>32.399000000000001</v>
      </c>
      <c r="EI12">
        <v>25.802</v>
      </c>
      <c r="EJ12">
        <v>24.526</v>
      </c>
      <c r="EK12">
        <v>25.786000000000001</v>
      </c>
      <c r="EL12">
        <v>24.754000000000001</v>
      </c>
      <c r="EM12">
        <v>16.875</v>
      </c>
      <c r="EN12">
        <v>0.33900000000000002</v>
      </c>
      <c r="EO12">
        <v>-22.7</v>
      </c>
      <c r="EP12">
        <v>-46.936</v>
      </c>
      <c r="EQ12">
        <v>-66.335999999999999</v>
      </c>
      <c r="ER12">
        <v>-76.807000000000002</v>
      </c>
      <c r="ES12">
        <v>-77.63</v>
      </c>
      <c r="ET12">
        <v>-71.108000000000004</v>
      </c>
      <c r="EU12">
        <v>-60.960999999999999</v>
      </c>
      <c r="EV12">
        <v>-50.517000000000003</v>
      </c>
      <c r="EW12">
        <v>-41.597000000000001</v>
      </c>
      <c r="EX12">
        <v>-34.374000000000002</v>
      </c>
      <c r="EY12">
        <v>-28.073</v>
      </c>
      <c r="EZ12">
        <v>-22.061</v>
      </c>
      <c r="FA12">
        <v>-16.658999999999999</v>
      </c>
      <c r="FB12">
        <v>-13.071</v>
      </c>
      <c r="FC12">
        <v>-12.377000000000001</v>
      </c>
      <c r="FD12">
        <v>-14.372999999999999</v>
      </c>
      <c r="FE12">
        <v>-17.294</v>
      </c>
      <c r="FF12">
        <v>-18.867999999999999</v>
      </c>
      <c r="FG12">
        <v>-18.02</v>
      </c>
      <c r="FH12">
        <v>-15.888999999999999</v>
      </c>
      <c r="FI12">
        <v>-15.157999999999999</v>
      </c>
      <c r="FJ12">
        <v>-17.896000000000001</v>
      </c>
      <c r="FK12">
        <v>-23.431999999999999</v>
      </c>
      <c r="FL12">
        <v>-28.027000000000001</v>
      </c>
      <c r="FM12">
        <v>-26.928000000000001</v>
      </c>
      <c r="FN12">
        <v>-17.481999999999999</v>
      </c>
      <c r="FO12">
        <v>-1.044</v>
      </c>
      <c r="FP12">
        <v>17.629000000000001</v>
      </c>
      <c r="FQ12">
        <v>32.92</v>
      </c>
      <c r="FR12">
        <v>41.000999999999998</v>
      </c>
      <c r="FS12">
        <v>41.085000000000001</v>
      </c>
      <c r="FT12">
        <v>35.027999999999999</v>
      </c>
      <c r="FU12">
        <v>26.01</v>
      </c>
      <c r="FV12">
        <v>17.161000000000001</v>
      </c>
      <c r="FW12">
        <v>10.619</v>
      </c>
      <c r="FX12">
        <v>7.085</v>
      </c>
      <c r="FY12">
        <v>5.8760000000000003</v>
      </c>
      <c r="FZ12">
        <v>5.444</v>
      </c>
      <c r="GA12">
        <v>4.2779999999999996</v>
      </c>
      <c r="GB12">
        <v>1.8260000000000001</v>
      </c>
      <c r="GC12">
        <v>-1.1160000000000001</v>
      </c>
      <c r="GD12">
        <v>-2.9289999999999998</v>
      </c>
      <c r="GE12">
        <v>-2.38</v>
      </c>
      <c r="GF12">
        <v>0.35199999999999998</v>
      </c>
      <c r="GG12">
        <v>3.7770000000000001</v>
      </c>
      <c r="GH12">
        <v>6.37</v>
      </c>
      <c r="GI12">
        <v>7.9930000000000003</v>
      </c>
      <c r="GJ12">
        <v>10.196999999999999</v>
      </c>
      <c r="GK12">
        <v>15.093999999999999</v>
      </c>
      <c r="GL12">
        <v>23.722999999999999</v>
      </c>
      <c r="GM12">
        <v>35.15</v>
      </c>
      <c r="GN12">
        <v>46.860999999999997</v>
      </c>
      <c r="GO12">
        <v>56.015000000000001</v>
      </c>
      <c r="GP12">
        <v>60.722000000000001</v>
      </c>
      <c r="GQ12">
        <v>60.664999999999999</v>
      </c>
      <c r="GR12">
        <v>56.871000000000002</v>
      </c>
      <c r="GS12">
        <v>50.859000000000002</v>
      </c>
      <c r="GT12">
        <v>43.674999999999997</v>
      </c>
      <c r="GU12">
        <v>35.378999999999998</v>
      </c>
      <c r="GV12">
        <v>25.286000000000001</v>
      </c>
      <c r="GW12">
        <v>12.792</v>
      </c>
      <c r="GX12">
        <v>-1.79</v>
      </c>
      <c r="GY12">
        <v>-16.966999999999999</v>
      </c>
      <c r="GZ12">
        <v>-30.545000000000002</v>
      </c>
      <c r="HA12">
        <v>-40.505000000000003</v>
      </c>
      <c r="HB12">
        <v>-45.734999999999999</v>
      </c>
      <c r="HC12">
        <v>-46.231000000000002</v>
      </c>
      <c r="HD12">
        <v>-42.796999999999997</v>
      </c>
      <c r="HE12">
        <v>-36.606999999999999</v>
      </c>
      <c r="HF12">
        <v>-28.991</v>
      </c>
      <c r="HG12">
        <v>-21.437999999999999</v>
      </c>
      <c r="HH12">
        <v>-15.513999999999999</v>
      </c>
      <c r="HI12">
        <v>-12.436</v>
      </c>
      <c r="HJ12">
        <v>-12.474</v>
      </c>
      <c r="HK12">
        <v>-14.695</v>
      </c>
      <c r="HL12">
        <v>-17.318000000000001</v>
      </c>
      <c r="HM12">
        <v>-18.541</v>
      </c>
      <c r="HN12">
        <v>-17.402000000000001</v>
      </c>
      <c r="HO12">
        <v>-14.295999999999999</v>
      </c>
      <c r="HP12">
        <v>-11</v>
      </c>
      <c r="HQ12">
        <v>-10.113</v>
      </c>
      <c r="HR12">
        <v>-13.95</v>
      </c>
      <c r="HS12">
        <v>-23.222000000000001</v>
      </c>
      <c r="HT12">
        <v>-36.209000000000003</v>
      </c>
      <c r="HU12">
        <v>-49.165999999999997</v>
      </c>
      <c r="HV12">
        <v>-58.017000000000003</v>
      </c>
      <c r="HW12">
        <v>-60.436</v>
      </c>
      <c r="HX12">
        <v>-56.932000000000002</v>
      </c>
      <c r="HY12">
        <v>-50.210999999999999</v>
      </c>
      <c r="HZ12">
        <v>-43.402999999999999</v>
      </c>
      <c r="IA12">
        <v>-38.481999999999999</v>
      </c>
      <c r="IB12">
        <v>-35.811999999999998</v>
      </c>
      <c r="IC12">
        <v>-34.656999999999996</v>
      </c>
      <c r="ID12">
        <v>-33.875999999999998</v>
      </c>
      <c r="IE12">
        <v>-32.302</v>
      </c>
      <c r="IF12">
        <v>-28.92</v>
      </c>
      <c r="IG12">
        <v>-23.05</v>
      </c>
      <c r="IH12">
        <v>-14.441000000000001</v>
      </c>
      <c r="II12">
        <v>-3.0089999999999999</v>
      </c>
      <c r="IJ12">
        <v>11.513</v>
      </c>
      <c r="IK12">
        <v>29.387</v>
      </c>
      <c r="IL12">
        <v>49.904000000000003</v>
      </c>
      <c r="IM12">
        <v>70.399000000000001</v>
      </c>
      <c r="IN12">
        <v>86.436999999999998</v>
      </c>
      <c r="IO12">
        <v>93.602999999999994</v>
      </c>
      <c r="IP12">
        <v>89.927999999999997</v>
      </c>
      <c r="IQ12">
        <v>77.281999999999996</v>
      </c>
      <c r="IR12">
        <v>60.741</v>
      </c>
      <c r="IS12">
        <v>46.453000000000003</v>
      </c>
      <c r="IT12">
        <v>39.46</v>
      </c>
      <c r="IU12">
        <v>42.542999999999999</v>
      </c>
      <c r="IV12">
        <v>55.918999999999997</v>
      </c>
      <c r="IW12">
        <v>76.914000000000001</v>
      </c>
      <c r="IX12">
        <v>99.268000000000001</v>
      </c>
      <c r="IY12">
        <v>113.00700000000001</v>
      </c>
      <c r="IZ12">
        <v>106.473</v>
      </c>
      <c r="JA12">
        <v>71.144999999999996</v>
      </c>
      <c r="JB12">
        <v>7.7009999999999996</v>
      </c>
      <c r="JC12">
        <v>-70.703000000000003</v>
      </c>
      <c r="JD12">
        <v>-142.733</v>
      </c>
      <c r="JE12">
        <v>-191.941</v>
      </c>
      <c r="JF12">
        <v>-218.178</v>
      </c>
      <c r="JG12" t="s">
        <v>77</v>
      </c>
    </row>
    <row r="13" spans="1:267" x14ac:dyDescent="0.4">
      <c r="A13">
        <v>12</v>
      </c>
      <c r="B13">
        <v>39</v>
      </c>
      <c r="C13">
        <v>1</v>
      </c>
      <c r="D13">
        <v>512</v>
      </c>
      <c r="E13">
        <v>0</v>
      </c>
      <c r="F13">
        <v>1691417678</v>
      </c>
      <c r="G13">
        <v>1</v>
      </c>
      <c r="H13" t="s">
        <v>27</v>
      </c>
      <c r="K13" t="s">
        <v>78</v>
      </c>
      <c r="M13">
        <v>8000</v>
      </c>
      <c r="N13">
        <v>60</v>
      </c>
      <c r="O13">
        <v>30</v>
      </c>
      <c r="P13">
        <v>90</v>
      </c>
      <c r="Q13">
        <v>5</v>
      </c>
      <c r="R13">
        <v>2</v>
      </c>
      <c r="S13">
        <v>40.96</v>
      </c>
      <c r="T13">
        <v>244</v>
      </c>
      <c r="U13">
        <v>0</v>
      </c>
      <c r="W13">
        <v>32.423999999999999</v>
      </c>
      <c r="X13">
        <v>9.2210000000000001</v>
      </c>
      <c r="Y13">
        <v>-10.731999999999999</v>
      </c>
      <c r="Z13">
        <v>-24.501000000000001</v>
      </c>
      <c r="AA13">
        <v>-31.366</v>
      </c>
      <c r="AB13">
        <v>-32.253999999999998</v>
      </c>
      <c r="AC13">
        <v>-28.83</v>
      </c>
      <c r="AD13">
        <v>-22.838999999999999</v>
      </c>
      <c r="AE13">
        <v>-15.75</v>
      </c>
      <c r="AF13">
        <v>-8.5510000000000002</v>
      </c>
      <c r="AG13">
        <v>-1.71</v>
      </c>
      <c r="AH13">
        <v>4.5549999999999997</v>
      </c>
      <c r="AI13">
        <v>9.8119999999999994</v>
      </c>
      <c r="AJ13">
        <v>13.215</v>
      </c>
      <c r="AK13">
        <v>13.874000000000001</v>
      </c>
      <c r="AL13">
        <v>11.54</v>
      </c>
      <c r="AM13">
        <v>6.9370000000000003</v>
      </c>
      <c r="AN13">
        <v>1.375</v>
      </c>
      <c r="AO13">
        <v>-4.056</v>
      </c>
      <c r="AP13">
        <v>-9.0670000000000002</v>
      </c>
      <c r="AQ13">
        <v>-14.145</v>
      </c>
      <c r="AR13">
        <v>-20.007999999999999</v>
      </c>
      <c r="AS13">
        <v>-26.908999999999999</v>
      </c>
      <c r="AT13">
        <v>-34.182000000000002</v>
      </c>
      <c r="AU13">
        <v>-40.298999999999999</v>
      </c>
      <c r="AV13">
        <v>-43.542999999999999</v>
      </c>
      <c r="AW13">
        <v>-42.939</v>
      </c>
      <c r="AX13">
        <v>-38.814</v>
      </c>
      <c r="AY13">
        <v>-32.545999999999999</v>
      </c>
      <c r="AZ13">
        <v>-25.716000000000001</v>
      </c>
      <c r="BA13">
        <v>-19.305</v>
      </c>
      <c r="BB13">
        <v>-13.427</v>
      </c>
      <c r="BC13">
        <v>-7.6580000000000004</v>
      </c>
      <c r="BD13">
        <v>-1.6739999999999999</v>
      </c>
      <c r="BE13">
        <v>4.1959999999999997</v>
      </c>
      <c r="BF13">
        <v>8.8369999999999997</v>
      </c>
      <c r="BG13">
        <v>10.782</v>
      </c>
      <c r="BH13">
        <v>9.0519999999999996</v>
      </c>
      <c r="BI13">
        <v>3.9140000000000001</v>
      </c>
      <c r="BJ13">
        <v>-2.984</v>
      </c>
      <c r="BK13">
        <v>-9.3209999999999997</v>
      </c>
      <c r="BL13">
        <v>-13.311</v>
      </c>
      <c r="BM13">
        <v>-14.622999999999999</v>
      </c>
      <c r="BN13">
        <v>-14.411</v>
      </c>
      <c r="BO13">
        <v>-14.391</v>
      </c>
      <c r="BP13">
        <v>-15.616</v>
      </c>
      <c r="BQ13">
        <v>-17.785</v>
      </c>
      <c r="BR13">
        <v>-19.515999999999998</v>
      </c>
      <c r="BS13">
        <v>-19.379000000000001</v>
      </c>
      <c r="BT13">
        <v>-16.940999999999999</v>
      </c>
      <c r="BU13">
        <v>-13.127000000000001</v>
      </c>
      <c r="BV13">
        <v>-9.673</v>
      </c>
      <c r="BW13">
        <v>-8.0660000000000007</v>
      </c>
      <c r="BX13">
        <v>-8.6479999999999997</v>
      </c>
      <c r="BY13">
        <v>-10.395</v>
      </c>
      <c r="BZ13">
        <v>-11.503</v>
      </c>
      <c r="CA13">
        <v>-10.417</v>
      </c>
      <c r="CB13">
        <v>-6.7080000000000002</v>
      </c>
      <c r="CC13">
        <v>-1.327</v>
      </c>
      <c r="CD13">
        <v>3.7959999999999998</v>
      </c>
      <c r="CE13">
        <v>6.516</v>
      </c>
      <c r="CF13">
        <v>5.2839999999999998</v>
      </c>
      <c r="CG13">
        <v>-0.126</v>
      </c>
      <c r="CH13">
        <v>-8.1720000000000006</v>
      </c>
      <c r="CI13">
        <v>-15.741</v>
      </c>
      <c r="CJ13">
        <v>-19.247</v>
      </c>
      <c r="CK13">
        <v>-16.294</v>
      </c>
      <c r="CL13">
        <v>-6.9720000000000004</v>
      </c>
      <c r="CM13">
        <v>6.05</v>
      </c>
      <c r="CN13">
        <v>18.696999999999999</v>
      </c>
      <c r="CO13">
        <v>27.207999999999998</v>
      </c>
      <c r="CP13">
        <v>29.52</v>
      </c>
      <c r="CQ13">
        <v>25.837</v>
      </c>
      <c r="CR13">
        <v>18.350000000000001</v>
      </c>
      <c r="CS13">
        <v>10.291</v>
      </c>
      <c r="CT13">
        <v>4.6459999999999999</v>
      </c>
      <c r="CU13">
        <v>3.0179999999999998</v>
      </c>
      <c r="CV13">
        <v>5.1289999999999996</v>
      </c>
      <c r="CW13">
        <v>9.2319999999999993</v>
      </c>
      <c r="CX13">
        <v>13.183</v>
      </c>
      <c r="CY13">
        <v>15.587</v>
      </c>
      <c r="CZ13">
        <v>16.414999999999999</v>
      </c>
      <c r="DA13">
        <v>16.809000000000001</v>
      </c>
      <c r="DB13">
        <v>18.283999999999999</v>
      </c>
      <c r="DC13">
        <v>21.83</v>
      </c>
      <c r="DD13">
        <v>27.475000000000001</v>
      </c>
      <c r="DE13">
        <v>34.418999999999997</v>
      </c>
      <c r="DF13">
        <v>41.45</v>
      </c>
      <c r="DG13">
        <v>47.27</v>
      </c>
      <c r="DH13">
        <v>50.703000000000003</v>
      </c>
      <c r="DI13">
        <v>50.981000000000002</v>
      </c>
      <c r="DJ13">
        <v>48.145000000000003</v>
      </c>
      <c r="DK13">
        <v>43.22</v>
      </c>
      <c r="DL13">
        <v>37.862000000000002</v>
      </c>
      <c r="DM13">
        <v>33.640999999999998</v>
      </c>
      <c r="DN13">
        <v>31.462</v>
      </c>
      <c r="DO13">
        <v>31.446999999999999</v>
      </c>
      <c r="DP13">
        <v>33.158999999999999</v>
      </c>
      <c r="DQ13">
        <v>35.805</v>
      </c>
      <c r="DR13">
        <v>38.262999999999998</v>
      </c>
      <c r="DS13">
        <v>39.097000000000001</v>
      </c>
      <c r="DT13">
        <v>36.776000000000003</v>
      </c>
      <c r="DU13">
        <v>30.114999999999998</v>
      </c>
      <c r="DV13">
        <v>18.739999999999998</v>
      </c>
      <c r="DW13">
        <v>3.411</v>
      </c>
      <c r="DX13">
        <v>-13.962</v>
      </c>
      <c r="DY13">
        <v>-30.69</v>
      </c>
      <c r="DZ13">
        <v>-44.073</v>
      </c>
      <c r="EA13">
        <v>-52.307000000000002</v>
      </c>
      <c r="EB13">
        <v>-55.136000000000003</v>
      </c>
      <c r="EC13">
        <v>-53.988</v>
      </c>
      <c r="ED13">
        <v>-51.55</v>
      </c>
      <c r="EE13">
        <v>-50.811999999999998</v>
      </c>
      <c r="EF13">
        <v>-53.875999999999998</v>
      </c>
      <c r="EG13">
        <v>-61.037999999999997</v>
      </c>
      <c r="EH13">
        <v>-70.724999999999994</v>
      </c>
      <c r="EI13">
        <v>-80.266999999999996</v>
      </c>
      <c r="EJ13">
        <v>-86.89</v>
      </c>
      <c r="EK13">
        <v>-88.350999999999999</v>
      </c>
      <c r="EL13">
        <v>-83.251000000000005</v>
      </c>
      <c r="EM13">
        <v>-71.462999999999994</v>
      </c>
      <c r="EN13">
        <v>-54.651000000000003</v>
      </c>
      <c r="EO13">
        <v>-36.209000000000003</v>
      </c>
      <c r="EP13">
        <v>-20.100999999999999</v>
      </c>
      <c r="EQ13">
        <v>-9.0559999999999992</v>
      </c>
      <c r="ER13">
        <v>-3.3410000000000002</v>
      </c>
      <c r="ES13">
        <v>-0.98499999999999999</v>
      </c>
      <c r="ET13">
        <v>0.77400000000000002</v>
      </c>
      <c r="EU13">
        <v>3.8610000000000002</v>
      </c>
      <c r="EV13">
        <v>8.4410000000000007</v>
      </c>
      <c r="EW13">
        <v>13.009</v>
      </c>
      <c r="EX13">
        <v>15.295999999999999</v>
      </c>
      <c r="EY13">
        <v>13.6</v>
      </c>
      <c r="EZ13">
        <v>7.95</v>
      </c>
      <c r="FA13">
        <v>0.38100000000000001</v>
      </c>
      <c r="FB13">
        <v>-6.0789999999999997</v>
      </c>
      <c r="FC13">
        <v>-9.2219999999999995</v>
      </c>
      <c r="FD13">
        <v>-8.9169999999999998</v>
      </c>
      <c r="FE13">
        <v>-6.6909999999999998</v>
      </c>
      <c r="FF13">
        <v>-3.8759999999999999</v>
      </c>
      <c r="FG13">
        <v>-7.1999999999999995E-2</v>
      </c>
      <c r="FH13">
        <v>6.4269999999999996</v>
      </c>
      <c r="FI13">
        <v>16.361999999999998</v>
      </c>
      <c r="FJ13">
        <v>27.469000000000001</v>
      </c>
      <c r="FK13">
        <v>34.805999999999997</v>
      </c>
      <c r="FL13">
        <v>33.603999999999999</v>
      </c>
      <c r="FM13">
        <v>22.564</v>
      </c>
      <c r="FN13">
        <v>5.141</v>
      </c>
      <c r="FO13">
        <v>-12.074999999999999</v>
      </c>
      <c r="FP13">
        <v>-22.678999999999998</v>
      </c>
      <c r="FQ13">
        <v>-23.335000000000001</v>
      </c>
      <c r="FR13">
        <v>-14.691000000000001</v>
      </c>
      <c r="FS13">
        <v>-0.2</v>
      </c>
      <c r="FT13">
        <v>16.074999999999999</v>
      </c>
      <c r="FU13">
        <v>31.3</v>
      </c>
      <c r="FV13">
        <v>44.529000000000003</v>
      </c>
      <c r="FW13">
        <v>56.216999999999999</v>
      </c>
      <c r="FX13">
        <v>67.174000000000007</v>
      </c>
      <c r="FY13">
        <v>77.543000000000006</v>
      </c>
      <c r="FZ13">
        <v>86.27</v>
      </c>
      <c r="GA13">
        <v>91.343999999999994</v>
      </c>
      <c r="GB13">
        <v>90.852000000000004</v>
      </c>
      <c r="GC13">
        <v>84.350999999999999</v>
      </c>
      <c r="GD13">
        <v>73.617999999999995</v>
      </c>
      <c r="GE13">
        <v>62.015000000000001</v>
      </c>
      <c r="GF13">
        <v>52.656999999999996</v>
      </c>
      <c r="GG13">
        <v>46.637</v>
      </c>
      <c r="GH13">
        <v>42.65</v>
      </c>
      <c r="GI13">
        <v>38.261000000000003</v>
      </c>
      <c r="GJ13">
        <v>31.71</v>
      </c>
      <c r="GK13">
        <v>22.834</v>
      </c>
      <c r="GL13">
        <v>12.557</v>
      </c>
      <c r="GM13">
        <v>1.637</v>
      </c>
      <c r="GN13">
        <v>-10.129</v>
      </c>
      <c r="GO13">
        <v>-23.588000000000001</v>
      </c>
      <c r="GP13">
        <v>-39.186</v>
      </c>
      <c r="GQ13">
        <v>-56.155999999999999</v>
      </c>
      <c r="GR13">
        <v>-72.62</v>
      </c>
      <c r="GS13">
        <v>-86.456999999999994</v>
      </c>
      <c r="GT13">
        <v>-96.149000000000001</v>
      </c>
      <c r="GU13">
        <v>-101.065</v>
      </c>
      <c r="GV13">
        <v>-101.21599999999999</v>
      </c>
      <c r="GW13">
        <v>-96.99</v>
      </c>
      <c r="GX13">
        <v>-89.159000000000006</v>
      </c>
      <c r="GY13">
        <v>-79.043999999999997</v>
      </c>
      <c r="GZ13">
        <v>-68.471999999999994</v>
      </c>
      <c r="HA13">
        <v>-59.244</v>
      </c>
      <c r="HB13">
        <v>-52.290999999999997</v>
      </c>
      <c r="HC13">
        <v>-47.058999999999997</v>
      </c>
      <c r="HD13">
        <v>-41.712000000000003</v>
      </c>
      <c r="HE13">
        <v>-34.220999999999997</v>
      </c>
      <c r="HF13">
        <v>-23.696999999999999</v>
      </c>
      <c r="HG13">
        <v>-11.058</v>
      </c>
      <c r="HH13">
        <v>1.46</v>
      </c>
      <c r="HI13">
        <v>11.619</v>
      </c>
      <c r="HJ13">
        <v>18.408999999999999</v>
      </c>
      <c r="HK13">
        <v>22.382999999999999</v>
      </c>
      <c r="HL13">
        <v>24.945</v>
      </c>
      <c r="HM13">
        <v>27.225000000000001</v>
      </c>
      <c r="HN13">
        <v>29.405000000000001</v>
      </c>
      <c r="HO13">
        <v>30.907</v>
      </c>
      <c r="HP13">
        <v>31.088000000000001</v>
      </c>
      <c r="HQ13">
        <v>29.79</v>
      </c>
      <c r="HR13">
        <v>27.405000000000001</v>
      </c>
      <c r="HS13">
        <v>24.65</v>
      </c>
      <c r="HT13">
        <v>22.346</v>
      </c>
      <c r="HU13">
        <v>21.295000000000002</v>
      </c>
      <c r="HV13">
        <v>22.117999999999999</v>
      </c>
      <c r="HW13">
        <v>25.044</v>
      </c>
      <c r="HX13">
        <v>29.776</v>
      </c>
      <c r="HY13">
        <v>35.576999999999998</v>
      </c>
      <c r="HZ13">
        <v>41.441000000000003</v>
      </c>
      <c r="IA13">
        <v>46.222999999999999</v>
      </c>
      <c r="IB13">
        <v>48.694000000000003</v>
      </c>
      <c r="IC13">
        <v>47.756</v>
      </c>
      <c r="ID13">
        <v>42.923000000000002</v>
      </c>
      <c r="IE13">
        <v>34.854999999999997</v>
      </c>
      <c r="IF13">
        <v>25.501999999999999</v>
      </c>
      <c r="IG13">
        <v>17.475999999999999</v>
      </c>
      <c r="IH13">
        <v>12.724</v>
      </c>
      <c r="II13">
        <v>11.196999999999999</v>
      </c>
      <c r="IJ13">
        <v>10.468</v>
      </c>
      <c r="IK13">
        <v>6.84</v>
      </c>
      <c r="IL13">
        <v>-2.58</v>
      </c>
      <c r="IM13">
        <v>-18.082999999999998</v>
      </c>
      <c r="IN13">
        <v>-36.923000000000002</v>
      </c>
      <c r="IO13">
        <v>-54.359000000000002</v>
      </c>
      <c r="IP13">
        <v>-65.489000000000004</v>
      </c>
      <c r="IQ13">
        <v>-67.010000000000005</v>
      </c>
      <c r="IR13">
        <v>-58.396999999999998</v>
      </c>
      <c r="IS13">
        <v>-42.241</v>
      </c>
      <c r="IT13">
        <v>-23.606000000000002</v>
      </c>
      <c r="IU13">
        <v>-8.4339999999999993</v>
      </c>
      <c r="IV13">
        <v>-1.415</v>
      </c>
      <c r="IW13">
        <v>-4.1180000000000003</v>
      </c>
      <c r="IX13">
        <v>-14.116</v>
      </c>
      <c r="IY13">
        <v>-25.507000000000001</v>
      </c>
      <c r="IZ13">
        <v>-30.885000000000002</v>
      </c>
      <c r="JA13">
        <v>-24.484000000000002</v>
      </c>
      <c r="JB13">
        <v>-5.5439999999999996</v>
      </c>
      <c r="JC13">
        <v>20.071999999999999</v>
      </c>
      <c r="JD13">
        <v>42.258000000000003</v>
      </c>
      <c r="JE13">
        <v>53.252000000000002</v>
      </c>
      <c r="JF13">
        <v>53.085000000000001</v>
      </c>
      <c r="JG13" t="s">
        <v>77</v>
      </c>
    </row>
    <row r="14" spans="1:267" x14ac:dyDescent="0.4">
      <c r="A14">
        <v>13</v>
      </c>
      <c r="B14">
        <v>40</v>
      </c>
      <c r="C14">
        <v>1</v>
      </c>
      <c r="D14">
        <v>512</v>
      </c>
      <c r="E14">
        <v>0</v>
      </c>
      <c r="F14">
        <v>1691417703</v>
      </c>
      <c r="G14">
        <v>1</v>
      </c>
      <c r="H14" t="s">
        <v>27</v>
      </c>
      <c r="K14" t="s">
        <v>78</v>
      </c>
      <c r="M14">
        <v>8000</v>
      </c>
      <c r="N14">
        <v>50</v>
      </c>
      <c r="O14">
        <v>40</v>
      </c>
      <c r="P14">
        <v>90</v>
      </c>
      <c r="Q14">
        <v>5</v>
      </c>
      <c r="R14">
        <v>2</v>
      </c>
      <c r="S14">
        <v>40.96</v>
      </c>
      <c r="T14">
        <v>244</v>
      </c>
      <c r="U14">
        <v>0</v>
      </c>
      <c r="W14">
        <v>21.960999999999999</v>
      </c>
      <c r="X14">
        <v>36.078000000000003</v>
      </c>
      <c r="Y14">
        <v>36.334000000000003</v>
      </c>
      <c r="Z14">
        <v>24.832999999999998</v>
      </c>
      <c r="AA14">
        <v>8.2149999999999999</v>
      </c>
      <c r="AB14">
        <v>-6.5540000000000003</v>
      </c>
      <c r="AC14">
        <v>-15.856</v>
      </c>
      <c r="AD14">
        <v>-20.323</v>
      </c>
      <c r="AE14">
        <v>-22.984999999999999</v>
      </c>
      <c r="AF14">
        <v>-26.417999999999999</v>
      </c>
      <c r="AG14">
        <v>-30.939</v>
      </c>
      <c r="AH14">
        <v>-34.783000000000001</v>
      </c>
      <c r="AI14">
        <v>-35.747</v>
      </c>
      <c r="AJ14">
        <v>-32.984000000000002</v>
      </c>
      <c r="AK14">
        <v>-27.731999999999999</v>
      </c>
      <c r="AL14">
        <v>-22.606999999999999</v>
      </c>
      <c r="AM14">
        <v>-19.96</v>
      </c>
      <c r="AN14">
        <v>-20.396000000000001</v>
      </c>
      <c r="AO14">
        <v>-22.388000000000002</v>
      </c>
      <c r="AP14">
        <v>-23.213000000000001</v>
      </c>
      <c r="AQ14">
        <v>-20.54</v>
      </c>
      <c r="AR14">
        <v>-13.621</v>
      </c>
      <c r="AS14">
        <v>-3.3540000000000001</v>
      </c>
      <c r="AT14">
        <v>8.6370000000000005</v>
      </c>
      <c r="AU14">
        <v>21.076000000000001</v>
      </c>
      <c r="AV14">
        <v>33.408999999999999</v>
      </c>
      <c r="AW14">
        <v>45.362000000000002</v>
      </c>
      <c r="AX14">
        <v>56.265000000000001</v>
      </c>
      <c r="AY14">
        <v>64.947999999999993</v>
      </c>
      <c r="AZ14">
        <v>70.363</v>
      </c>
      <c r="BA14">
        <v>72.356999999999999</v>
      </c>
      <c r="BB14">
        <v>71.786000000000001</v>
      </c>
      <c r="BC14">
        <v>69.736999999999995</v>
      </c>
      <c r="BD14">
        <v>66.462999999999994</v>
      </c>
      <c r="BE14">
        <v>60.969000000000001</v>
      </c>
      <c r="BF14">
        <v>51.735999999999997</v>
      </c>
      <c r="BG14">
        <v>38.155999999999999</v>
      </c>
      <c r="BH14">
        <v>21.631</v>
      </c>
      <c r="BI14">
        <v>5.4130000000000003</v>
      </c>
      <c r="BJ14">
        <v>-6.8639999999999999</v>
      </c>
      <c r="BK14">
        <v>-13.061</v>
      </c>
      <c r="BL14">
        <v>-13.624000000000001</v>
      </c>
      <c r="BM14">
        <v>-11.204000000000001</v>
      </c>
      <c r="BN14">
        <v>-9.1240000000000006</v>
      </c>
      <c r="BO14">
        <v>-9.6479999999999997</v>
      </c>
      <c r="BP14">
        <v>-13.077999999999999</v>
      </c>
      <c r="BQ14">
        <v>-18.128</v>
      </c>
      <c r="BR14">
        <v>-23.071999999999999</v>
      </c>
      <c r="BS14">
        <v>-26.739000000000001</v>
      </c>
      <c r="BT14">
        <v>-28.713000000000001</v>
      </c>
      <c r="BU14">
        <v>-28.98</v>
      </c>
      <c r="BV14">
        <v>-27.617999999999999</v>
      </c>
      <c r="BW14">
        <v>-24.829000000000001</v>
      </c>
      <c r="BX14">
        <v>-21.065000000000001</v>
      </c>
      <c r="BY14">
        <v>-16.951000000000001</v>
      </c>
      <c r="BZ14">
        <v>-12.997</v>
      </c>
      <c r="CA14">
        <v>-9.3320000000000007</v>
      </c>
      <c r="CB14">
        <v>-5.6479999999999997</v>
      </c>
      <c r="CC14">
        <v>-1.4730000000000001</v>
      </c>
      <c r="CD14">
        <v>3.38</v>
      </c>
      <c r="CE14">
        <v>8.5289999999999999</v>
      </c>
      <c r="CF14">
        <v>13.244999999999999</v>
      </c>
      <c r="CG14">
        <v>17.058</v>
      </c>
      <c r="CH14">
        <v>20.204999999999998</v>
      </c>
      <c r="CI14">
        <v>23.446000000000002</v>
      </c>
      <c r="CJ14">
        <v>27.335999999999999</v>
      </c>
      <c r="CK14">
        <v>31.602</v>
      </c>
      <c r="CL14">
        <v>35.097999999999999</v>
      </c>
      <c r="CM14">
        <v>36.305999999999997</v>
      </c>
      <c r="CN14">
        <v>33.936999999999998</v>
      </c>
      <c r="CO14">
        <v>27.306999999999999</v>
      </c>
      <c r="CP14">
        <v>16.434999999999999</v>
      </c>
      <c r="CQ14">
        <v>2.0459999999999998</v>
      </c>
      <c r="CR14">
        <v>-14.366</v>
      </c>
      <c r="CS14">
        <v>-30.497</v>
      </c>
      <c r="CT14">
        <v>-43.447000000000003</v>
      </c>
      <c r="CU14">
        <v>-50.41</v>
      </c>
      <c r="CV14">
        <v>-49.744999999999997</v>
      </c>
      <c r="CW14">
        <v>-41.896999999999998</v>
      </c>
      <c r="CX14">
        <v>-29.532</v>
      </c>
      <c r="CY14">
        <v>-16.568000000000001</v>
      </c>
      <c r="CZ14">
        <v>-6.51</v>
      </c>
      <c r="DA14">
        <v>-1.0820000000000001</v>
      </c>
      <c r="DB14">
        <v>2.1000000000000001E-2</v>
      </c>
      <c r="DC14">
        <v>-1.732</v>
      </c>
      <c r="DD14">
        <v>-4.8689999999999998</v>
      </c>
      <c r="DE14">
        <v>-8.4469999999999992</v>
      </c>
      <c r="DF14">
        <v>-11.835000000000001</v>
      </c>
      <c r="DG14">
        <v>-14.295999999999999</v>
      </c>
      <c r="DH14">
        <v>-14.965</v>
      </c>
      <c r="DI14">
        <v>-13.231</v>
      </c>
      <c r="DJ14">
        <v>-9.1950000000000003</v>
      </c>
      <c r="DK14">
        <v>-3.9889999999999999</v>
      </c>
      <c r="DL14">
        <v>0.157</v>
      </c>
      <c r="DM14">
        <v>0.36399999999999999</v>
      </c>
      <c r="DN14">
        <v>-5.6109999999999998</v>
      </c>
      <c r="DO14">
        <v>-17.675000000000001</v>
      </c>
      <c r="DP14">
        <v>-32.53</v>
      </c>
      <c r="DQ14">
        <v>-44.820999999999998</v>
      </c>
      <c r="DR14">
        <v>-50.034999999999997</v>
      </c>
      <c r="DS14">
        <v>-47.34</v>
      </c>
      <c r="DT14">
        <v>-40.308</v>
      </c>
      <c r="DU14">
        <v>-34.838000000000001</v>
      </c>
      <c r="DV14">
        <v>-35.497</v>
      </c>
      <c r="DW14">
        <v>-42.537999999999997</v>
      </c>
      <c r="DX14">
        <v>-51.442999999999998</v>
      </c>
      <c r="DY14">
        <v>-55.332999999999998</v>
      </c>
      <c r="DZ14">
        <v>-48.823</v>
      </c>
      <c r="EA14">
        <v>-30.99</v>
      </c>
      <c r="EB14">
        <v>-5.7370000000000001</v>
      </c>
      <c r="EC14">
        <v>20.483000000000001</v>
      </c>
      <c r="ED14">
        <v>42.033000000000001</v>
      </c>
      <c r="EE14">
        <v>56.582000000000001</v>
      </c>
      <c r="EF14">
        <v>65.433000000000007</v>
      </c>
      <c r="EG14">
        <v>71.790000000000006</v>
      </c>
      <c r="EH14">
        <v>78.23</v>
      </c>
      <c r="EI14">
        <v>85.006</v>
      </c>
      <c r="EJ14">
        <v>90.143000000000001</v>
      </c>
      <c r="EK14">
        <v>91.010999999999996</v>
      </c>
      <c r="EL14">
        <v>86.094999999999999</v>
      </c>
      <c r="EM14">
        <v>75.843000000000004</v>
      </c>
      <c r="EN14">
        <v>62.290999999999997</v>
      </c>
      <c r="EO14">
        <v>48.048000000000002</v>
      </c>
      <c r="EP14">
        <v>35.332999999999998</v>
      </c>
      <c r="EQ14">
        <v>25.434999999999999</v>
      </c>
      <c r="ER14">
        <v>18.588000000000001</v>
      </c>
      <c r="ES14">
        <v>14.214</v>
      </c>
      <c r="ET14">
        <v>11.467000000000001</v>
      </c>
      <c r="EU14">
        <v>9.8699999999999992</v>
      </c>
      <c r="EV14">
        <v>9.5820000000000007</v>
      </c>
      <c r="EW14">
        <v>10.898</v>
      </c>
      <c r="EX14">
        <v>13.335000000000001</v>
      </c>
      <c r="EY14">
        <v>15.24</v>
      </c>
      <c r="EZ14">
        <v>14.542999999999999</v>
      </c>
      <c r="FA14">
        <v>10.154999999999999</v>
      </c>
      <c r="FB14">
        <v>2.8109999999999999</v>
      </c>
      <c r="FC14">
        <v>-5.4340000000000002</v>
      </c>
      <c r="FD14">
        <v>-12.615</v>
      </c>
      <c r="FE14">
        <v>-18.007000000000001</v>
      </c>
      <c r="FF14">
        <v>-22.22</v>
      </c>
      <c r="FG14">
        <v>-26.416</v>
      </c>
      <c r="FH14">
        <v>-31.420999999999999</v>
      </c>
      <c r="FI14">
        <v>-37.317</v>
      </c>
      <c r="FJ14">
        <v>-43.543999999999997</v>
      </c>
      <c r="FK14">
        <v>-49.18</v>
      </c>
      <c r="FL14">
        <v>-53.125</v>
      </c>
      <c r="FM14">
        <v>-54.155000000000001</v>
      </c>
      <c r="FN14">
        <v>-51.103000000000002</v>
      </c>
      <c r="FO14">
        <v>-43.366</v>
      </c>
      <c r="FP14">
        <v>-31.619</v>
      </c>
      <c r="FQ14">
        <v>-18.206</v>
      </c>
      <c r="FR14">
        <v>-6.6749999999999998</v>
      </c>
      <c r="FS14">
        <v>-0.40699999999999997</v>
      </c>
      <c r="FT14">
        <v>-1.0149999999999999</v>
      </c>
      <c r="FU14">
        <v>-7.5039999999999996</v>
      </c>
      <c r="FV14">
        <v>-16.789000000000001</v>
      </c>
      <c r="FW14">
        <v>-25.257000000000001</v>
      </c>
      <c r="FX14">
        <v>-30.402000000000001</v>
      </c>
      <c r="FY14">
        <v>-31.593</v>
      </c>
      <c r="FZ14">
        <v>-29.72</v>
      </c>
      <c r="GA14">
        <v>-26.170999999999999</v>
      </c>
      <c r="GB14">
        <v>-21.885000000000002</v>
      </c>
      <c r="GC14">
        <v>-17.050999999999998</v>
      </c>
      <c r="GD14">
        <v>-11.509</v>
      </c>
      <c r="GE14">
        <v>-5.4550000000000001</v>
      </c>
      <c r="GF14">
        <v>0.112</v>
      </c>
      <c r="GG14">
        <v>3.5579999999999998</v>
      </c>
      <c r="GH14">
        <v>3.407</v>
      </c>
      <c r="GI14">
        <v>-0.622</v>
      </c>
      <c r="GJ14">
        <v>-6.8979999999999997</v>
      </c>
      <c r="GK14">
        <v>-12.106999999999999</v>
      </c>
      <c r="GL14">
        <v>-12.567</v>
      </c>
      <c r="GM14">
        <v>-6.0940000000000003</v>
      </c>
      <c r="GN14">
        <v>6.7629999999999999</v>
      </c>
      <c r="GO14">
        <v>23.013999999999999</v>
      </c>
      <c r="GP14">
        <v>38.954000000000001</v>
      </c>
      <c r="GQ14">
        <v>52.078000000000003</v>
      </c>
      <c r="GR14">
        <v>61.807000000000002</v>
      </c>
      <c r="GS14">
        <v>68.673000000000002</v>
      </c>
      <c r="GT14">
        <v>72.936000000000007</v>
      </c>
      <c r="GU14">
        <v>73.978999999999999</v>
      </c>
      <c r="GV14">
        <v>71.048000000000002</v>
      </c>
      <c r="GW14">
        <v>64.635000000000005</v>
      </c>
      <c r="GX14">
        <v>57.142000000000003</v>
      </c>
      <c r="GY14">
        <v>51.985999999999997</v>
      </c>
      <c r="GZ14">
        <v>51.500999999999998</v>
      </c>
      <c r="HA14">
        <v>55.072000000000003</v>
      </c>
      <c r="HB14">
        <v>58.91</v>
      </c>
      <c r="HC14">
        <v>57.776000000000003</v>
      </c>
      <c r="HD14">
        <v>47.703000000000003</v>
      </c>
      <c r="HE14">
        <v>28.169</v>
      </c>
      <c r="HF14">
        <v>2.5880000000000001</v>
      </c>
      <c r="HG14">
        <v>-23.097000000000001</v>
      </c>
      <c r="HH14">
        <v>-42.984999999999999</v>
      </c>
      <c r="HI14">
        <v>-53.683</v>
      </c>
      <c r="HJ14">
        <v>-55.506</v>
      </c>
      <c r="HK14">
        <v>-51.881999999999998</v>
      </c>
      <c r="HL14">
        <v>-47.375999999999998</v>
      </c>
      <c r="HM14">
        <v>-45.476999999999997</v>
      </c>
      <c r="HN14">
        <v>-47.307000000000002</v>
      </c>
      <c r="HO14">
        <v>-51.768000000000001</v>
      </c>
      <c r="HP14">
        <v>-56.792000000000002</v>
      </c>
      <c r="HQ14">
        <v>-60.853000000000002</v>
      </c>
      <c r="HR14">
        <v>-63.784999999999997</v>
      </c>
      <c r="HS14">
        <v>-66.433000000000007</v>
      </c>
      <c r="HT14">
        <v>-69.421999999999997</v>
      </c>
      <c r="HU14">
        <v>-72.007000000000005</v>
      </c>
      <c r="HV14">
        <v>-72.016000000000005</v>
      </c>
      <c r="HW14">
        <v>-67.135999999999996</v>
      </c>
      <c r="HX14">
        <v>-56.697000000000003</v>
      </c>
      <c r="HY14">
        <v>-42.64</v>
      </c>
      <c r="HZ14">
        <v>-28.806000000000001</v>
      </c>
      <c r="IA14">
        <v>-18.914999999999999</v>
      </c>
      <c r="IB14">
        <v>-14.454000000000001</v>
      </c>
      <c r="IC14">
        <v>-13.808999999999999</v>
      </c>
      <c r="ID14">
        <v>-13.249000000000001</v>
      </c>
      <c r="IE14">
        <v>-9.2349999999999994</v>
      </c>
      <c r="IF14">
        <v>-0.73</v>
      </c>
      <c r="IG14">
        <v>9.9879999999999995</v>
      </c>
      <c r="IH14">
        <v>18.626999999999999</v>
      </c>
      <c r="II14">
        <v>21.658000000000001</v>
      </c>
      <c r="IJ14">
        <v>18.850000000000001</v>
      </c>
      <c r="IK14">
        <v>13.849</v>
      </c>
      <c r="IL14">
        <v>12.295999999999999</v>
      </c>
      <c r="IM14">
        <v>18.614999999999998</v>
      </c>
      <c r="IN14">
        <v>33.515000000000001</v>
      </c>
      <c r="IO14">
        <v>53.631999999999998</v>
      </c>
      <c r="IP14">
        <v>73.206999999999994</v>
      </c>
      <c r="IQ14">
        <v>86.489000000000004</v>
      </c>
      <c r="IR14">
        <v>89.656000000000006</v>
      </c>
      <c r="IS14">
        <v>81.992999999999995</v>
      </c>
      <c r="IT14">
        <v>66.518000000000001</v>
      </c>
      <c r="IU14">
        <v>49.875999999999998</v>
      </c>
      <c r="IV14">
        <v>40.707999999999998</v>
      </c>
      <c r="IW14">
        <v>45.936</v>
      </c>
      <c r="IX14">
        <v>65.852999999999994</v>
      </c>
      <c r="IY14">
        <v>90.744</v>
      </c>
      <c r="IZ14">
        <v>102.456</v>
      </c>
      <c r="JA14">
        <v>82.554000000000002</v>
      </c>
      <c r="JB14">
        <v>24.419</v>
      </c>
      <c r="JC14">
        <v>-58.375999999999998</v>
      </c>
      <c r="JD14">
        <v>-136.554</v>
      </c>
      <c r="JE14">
        <v>-185.00299999999999</v>
      </c>
      <c r="JF14">
        <v>-201.50700000000001</v>
      </c>
      <c r="JG14" t="s">
        <v>77</v>
      </c>
    </row>
    <row r="15" spans="1:267" x14ac:dyDescent="0.4">
      <c r="A15">
        <v>14</v>
      </c>
      <c r="B15">
        <v>41</v>
      </c>
      <c r="C15">
        <v>1</v>
      </c>
      <c r="D15">
        <v>512</v>
      </c>
      <c r="E15">
        <v>0</v>
      </c>
      <c r="F15">
        <v>1691417728</v>
      </c>
      <c r="G15">
        <v>1</v>
      </c>
      <c r="H15" t="s">
        <v>27</v>
      </c>
      <c r="K15" t="s">
        <v>78</v>
      </c>
      <c r="M15">
        <v>8000</v>
      </c>
      <c r="N15">
        <v>40</v>
      </c>
      <c r="O15">
        <v>50</v>
      </c>
      <c r="P15">
        <v>90</v>
      </c>
      <c r="Q15">
        <v>5</v>
      </c>
      <c r="R15">
        <v>2</v>
      </c>
      <c r="S15">
        <v>40.96</v>
      </c>
      <c r="T15">
        <v>244</v>
      </c>
      <c r="U15">
        <v>0</v>
      </c>
      <c r="W15">
        <v>71.941999999999993</v>
      </c>
      <c r="X15">
        <v>138.04499999999999</v>
      </c>
      <c r="Y15">
        <v>182.75399999999999</v>
      </c>
      <c r="Z15">
        <v>199.82300000000001</v>
      </c>
      <c r="AA15">
        <v>192.87200000000001</v>
      </c>
      <c r="AB15">
        <v>172.37700000000001</v>
      </c>
      <c r="AC15">
        <v>150.30099999999999</v>
      </c>
      <c r="AD15">
        <v>135.00399999999999</v>
      </c>
      <c r="AE15">
        <v>128.51599999999999</v>
      </c>
      <c r="AF15">
        <v>127.134</v>
      </c>
      <c r="AG15">
        <v>124.634</v>
      </c>
      <c r="AH15">
        <v>116.066</v>
      </c>
      <c r="AI15">
        <v>100.01600000000001</v>
      </c>
      <c r="AJ15">
        <v>78.435000000000002</v>
      </c>
      <c r="AK15">
        <v>54.731000000000002</v>
      </c>
      <c r="AL15">
        <v>31.672999999999998</v>
      </c>
      <c r="AM15">
        <v>10.377000000000001</v>
      </c>
      <c r="AN15">
        <v>-9.3670000000000009</v>
      </c>
      <c r="AO15">
        <v>-28.094999999999999</v>
      </c>
      <c r="AP15">
        <v>-45.811</v>
      </c>
      <c r="AQ15">
        <v>-61.661999999999999</v>
      </c>
      <c r="AR15">
        <v>-74.048000000000002</v>
      </c>
      <c r="AS15">
        <v>-81.016000000000005</v>
      </c>
      <c r="AT15">
        <v>-80.986999999999995</v>
      </c>
      <c r="AU15">
        <v>-73.709000000000003</v>
      </c>
      <c r="AV15">
        <v>-60.886000000000003</v>
      </c>
      <c r="AW15">
        <v>-45.884999999999998</v>
      </c>
      <c r="AX15">
        <v>-32.543999999999997</v>
      </c>
      <c r="AY15">
        <v>-23.812999999999999</v>
      </c>
      <c r="AZ15">
        <v>-20.904</v>
      </c>
      <c r="BA15">
        <v>-23.071000000000002</v>
      </c>
      <c r="BB15">
        <v>-27.858000000000001</v>
      </c>
      <c r="BC15">
        <v>-31.850999999999999</v>
      </c>
      <c r="BD15">
        <v>-32.015000000000001</v>
      </c>
      <c r="BE15">
        <v>-27.167000000000002</v>
      </c>
      <c r="BF15">
        <v>-18.690000000000001</v>
      </c>
      <c r="BG15">
        <v>-9.77</v>
      </c>
      <c r="BH15">
        <v>-3.4870000000000001</v>
      </c>
      <c r="BI15">
        <v>-1.0309999999999999</v>
      </c>
      <c r="BJ15">
        <v>-1.204</v>
      </c>
      <c r="BK15">
        <v>-1.403</v>
      </c>
      <c r="BL15">
        <v>0.71899999999999997</v>
      </c>
      <c r="BM15">
        <v>5.952</v>
      </c>
      <c r="BN15">
        <v>13.135999999999999</v>
      </c>
      <c r="BO15">
        <v>19.7</v>
      </c>
      <c r="BP15">
        <v>22.835999999999999</v>
      </c>
      <c r="BQ15">
        <v>20.792000000000002</v>
      </c>
      <c r="BR15">
        <v>13.706</v>
      </c>
      <c r="BS15">
        <v>3.5449999999999999</v>
      </c>
      <c r="BT15">
        <v>-6.819</v>
      </c>
      <c r="BU15">
        <v>-14.843</v>
      </c>
      <c r="BV15">
        <v>-19.122</v>
      </c>
      <c r="BW15">
        <v>-19.382000000000001</v>
      </c>
      <c r="BX15">
        <v>-15.833</v>
      </c>
      <c r="BY15">
        <v>-8.5060000000000002</v>
      </c>
      <c r="BZ15">
        <v>2.7970000000000002</v>
      </c>
      <c r="CA15">
        <v>17.716999999999999</v>
      </c>
      <c r="CB15">
        <v>34.207000000000001</v>
      </c>
      <c r="CC15">
        <v>48.116</v>
      </c>
      <c r="CD15">
        <v>54.331000000000003</v>
      </c>
      <c r="CE15">
        <v>49.143000000000001</v>
      </c>
      <c r="CF15">
        <v>32.387</v>
      </c>
      <c r="CG15">
        <v>7.8339999999999996</v>
      </c>
      <c r="CH15">
        <v>-18.37</v>
      </c>
      <c r="CI15">
        <v>-40.107999999999997</v>
      </c>
      <c r="CJ15">
        <v>-53.152000000000001</v>
      </c>
      <c r="CK15">
        <v>-55.890999999999998</v>
      </c>
      <c r="CL15">
        <v>-49.195999999999998</v>
      </c>
      <c r="CM15">
        <v>-35.825000000000003</v>
      </c>
      <c r="CN15">
        <v>-19.553000000000001</v>
      </c>
      <c r="CO15">
        <v>-4.0720000000000001</v>
      </c>
      <c r="CP15">
        <v>8.0640000000000001</v>
      </c>
      <c r="CQ15">
        <v>15.984999999999999</v>
      </c>
      <c r="CR15">
        <v>20.271999999999998</v>
      </c>
      <c r="CS15">
        <v>22.161000000000001</v>
      </c>
      <c r="CT15">
        <v>22.768000000000001</v>
      </c>
      <c r="CU15">
        <v>22.751000000000001</v>
      </c>
      <c r="CV15">
        <v>22.391999999999999</v>
      </c>
      <c r="CW15">
        <v>21.638999999999999</v>
      </c>
      <c r="CX15">
        <v>19.91</v>
      </c>
      <c r="CY15">
        <v>15.895</v>
      </c>
      <c r="CZ15">
        <v>7.92</v>
      </c>
      <c r="DA15">
        <v>-5.0289999999999999</v>
      </c>
      <c r="DB15">
        <v>-22.198</v>
      </c>
      <c r="DC15">
        <v>-40.81</v>
      </c>
      <c r="DD15">
        <v>-57.000999999999998</v>
      </c>
      <c r="DE15">
        <v>-67.379000000000005</v>
      </c>
      <c r="DF15">
        <v>-70.131</v>
      </c>
      <c r="DG15">
        <v>-65.14</v>
      </c>
      <c r="DH15">
        <v>-53.511000000000003</v>
      </c>
      <c r="DI15">
        <v>-37.319000000000003</v>
      </c>
      <c r="DJ15">
        <v>-19.782</v>
      </c>
      <c r="DK15">
        <v>-5.1749999999999998</v>
      </c>
      <c r="DL15">
        <v>2.367</v>
      </c>
      <c r="DM15">
        <v>0.98599999999999999</v>
      </c>
      <c r="DN15">
        <v>-7.194</v>
      </c>
      <c r="DO15">
        <v>-16.395</v>
      </c>
      <c r="DP15">
        <v>-19.908000000000001</v>
      </c>
      <c r="DQ15">
        <v>-13.849</v>
      </c>
      <c r="DR15">
        <v>0.38700000000000001</v>
      </c>
      <c r="DS15">
        <v>16.619</v>
      </c>
      <c r="DT15">
        <v>27.202999999999999</v>
      </c>
      <c r="DU15">
        <v>27.228999999999999</v>
      </c>
      <c r="DV15">
        <v>17.120999999999999</v>
      </c>
      <c r="DW15">
        <v>2.1960000000000002</v>
      </c>
      <c r="DX15">
        <v>-10.349</v>
      </c>
      <c r="DY15">
        <v>-15.106</v>
      </c>
      <c r="DZ15">
        <v>-10.708</v>
      </c>
      <c r="EA15">
        <v>0.309</v>
      </c>
      <c r="EB15">
        <v>13.526</v>
      </c>
      <c r="EC15">
        <v>25.053000000000001</v>
      </c>
      <c r="ED15">
        <v>32.994999999999997</v>
      </c>
      <c r="EE15">
        <v>37.496000000000002</v>
      </c>
      <c r="EF15">
        <v>39.808999999999997</v>
      </c>
      <c r="EG15">
        <v>41.207999999999998</v>
      </c>
      <c r="EH15">
        <v>42.317999999999998</v>
      </c>
      <c r="EI15">
        <v>43.076000000000001</v>
      </c>
      <c r="EJ15">
        <v>43.167999999999999</v>
      </c>
      <c r="EK15">
        <v>42.558</v>
      </c>
      <c r="EL15">
        <v>41.625999999999998</v>
      </c>
      <c r="EM15">
        <v>40.677</v>
      </c>
      <c r="EN15">
        <v>39.222000000000001</v>
      </c>
      <c r="EO15">
        <v>35.865000000000002</v>
      </c>
      <c r="EP15">
        <v>29.248999999999999</v>
      </c>
      <c r="EQ15">
        <v>19.506</v>
      </c>
      <c r="ER15">
        <v>8.9529999999999994</v>
      </c>
      <c r="ES15">
        <v>1.246</v>
      </c>
      <c r="ET15">
        <v>-0.60799999999999998</v>
      </c>
      <c r="EU15">
        <v>3.9449999999999998</v>
      </c>
      <c r="EV15">
        <v>12.586</v>
      </c>
      <c r="EW15">
        <v>21.32</v>
      </c>
      <c r="EX15">
        <v>26.47</v>
      </c>
      <c r="EY15">
        <v>26.26</v>
      </c>
      <c r="EZ15">
        <v>21.244</v>
      </c>
      <c r="FA15">
        <v>13.647</v>
      </c>
      <c r="FB15">
        <v>6.2709999999999999</v>
      </c>
      <c r="FC15">
        <v>1.554</v>
      </c>
      <c r="FD15">
        <v>0.97399999999999998</v>
      </c>
      <c r="FE15">
        <v>4.6269999999999998</v>
      </c>
      <c r="FF15">
        <v>10.992000000000001</v>
      </c>
      <c r="FG15">
        <v>17.193000000000001</v>
      </c>
      <c r="FH15">
        <v>20.053000000000001</v>
      </c>
      <c r="FI15">
        <v>17.632000000000001</v>
      </c>
      <c r="FJ15">
        <v>10.276999999999999</v>
      </c>
      <c r="FK15">
        <v>0.31</v>
      </c>
      <c r="FL15">
        <v>-9.5719999999999992</v>
      </c>
      <c r="FM15">
        <v>-18.038</v>
      </c>
      <c r="FN15">
        <v>-25.725000000000001</v>
      </c>
      <c r="FO15">
        <v>-34.341000000000001</v>
      </c>
      <c r="FP15">
        <v>-45.084000000000003</v>
      </c>
      <c r="FQ15">
        <v>-57.470999999999997</v>
      </c>
      <c r="FR15">
        <v>-69.215000000000003</v>
      </c>
      <c r="FS15">
        <v>-77.069999999999993</v>
      </c>
      <c r="FT15">
        <v>-78.212000000000003</v>
      </c>
      <c r="FU15">
        <v>-71.572999999999993</v>
      </c>
      <c r="FV15">
        <v>-58.543999999999997</v>
      </c>
      <c r="FW15">
        <v>-42.64</v>
      </c>
      <c r="FX15">
        <v>-28.186</v>
      </c>
      <c r="FY15">
        <v>-18.593</v>
      </c>
      <c r="FZ15">
        <v>-15.066000000000001</v>
      </c>
      <c r="GA15">
        <v>-16.350999999999999</v>
      </c>
      <c r="GB15">
        <v>-19.512</v>
      </c>
      <c r="GC15">
        <v>-21.251999999999999</v>
      </c>
      <c r="GD15">
        <v>-19.105</v>
      </c>
      <c r="GE15">
        <v>-12.073</v>
      </c>
      <c r="GF15">
        <v>-0.69</v>
      </c>
      <c r="GG15">
        <v>13.175000000000001</v>
      </c>
      <c r="GH15">
        <v>26.565999999999999</v>
      </c>
      <c r="GI15">
        <v>35.899000000000001</v>
      </c>
      <c r="GJ15">
        <v>37.901000000000003</v>
      </c>
      <c r="GK15">
        <v>30.91</v>
      </c>
      <c r="GL15">
        <v>15.827</v>
      </c>
      <c r="GM15">
        <v>-3.931</v>
      </c>
      <c r="GN15">
        <v>-23.58</v>
      </c>
      <c r="GO15">
        <v>-38.673999999999999</v>
      </c>
      <c r="GP15">
        <v>-46.619</v>
      </c>
      <c r="GQ15">
        <v>-47.423000000000002</v>
      </c>
      <c r="GR15">
        <v>-43.329000000000001</v>
      </c>
      <c r="GS15">
        <v>-37.515999999999998</v>
      </c>
      <c r="GT15">
        <v>-32.548999999999999</v>
      </c>
      <c r="GU15">
        <v>-29.356000000000002</v>
      </c>
      <c r="GV15">
        <v>-27.11</v>
      </c>
      <c r="GW15">
        <v>-23.866</v>
      </c>
      <c r="GX15">
        <v>-17.635999999999999</v>
      </c>
      <c r="GY15">
        <v>-7.5949999999999998</v>
      </c>
      <c r="GZ15">
        <v>5.024</v>
      </c>
      <c r="HA15">
        <v>16.965</v>
      </c>
      <c r="HB15">
        <v>24.300999999999998</v>
      </c>
      <c r="HC15">
        <v>24.652999999999999</v>
      </c>
      <c r="HD15">
        <v>18.995999999999999</v>
      </c>
      <c r="HE15">
        <v>11.760999999999999</v>
      </c>
      <c r="HF15">
        <v>8.8339999999999996</v>
      </c>
      <c r="HG15">
        <v>14.396000000000001</v>
      </c>
      <c r="HH15">
        <v>28.428000000000001</v>
      </c>
      <c r="HI15">
        <v>46.531999999999996</v>
      </c>
      <c r="HJ15">
        <v>62.39</v>
      </c>
      <c r="HK15">
        <v>71.415000000000006</v>
      </c>
      <c r="HL15">
        <v>73.247</v>
      </c>
      <c r="HM15">
        <v>71.480999999999995</v>
      </c>
      <c r="HN15">
        <v>70.87</v>
      </c>
      <c r="HO15">
        <v>73.897999999999996</v>
      </c>
      <c r="HP15">
        <v>78.944999999999993</v>
      </c>
      <c r="HQ15">
        <v>81.197000000000003</v>
      </c>
      <c r="HR15">
        <v>75.765000000000001</v>
      </c>
      <c r="HS15">
        <v>61.073</v>
      </c>
      <c r="HT15">
        <v>40.317</v>
      </c>
      <c r="HU15">
        <v>19.863</v>
      </c>
      <c r="HV15">
        <v>5.54</v>
      </c>
      <c r="HW15">
        <v>-0.73099999999999998</v>
      </c>
      <c r="HX15">
        <v>-1.6870000000000001</v>
      </c>
      <c r="HY15">
        <v>-2.52</v>
      </c>
      <c r="HZ15">
        <v>-7.4</v>
      </c>
      <c r="IA15">
        <v>-17.006</v>
      </c>
      <c r="IB15">
        <v>-28.419</v>
      </c>
      <c r="IC15">
        <v>-37.119</v>
      </c>
      <c r="ID15">
        <v>-39.783000000000001</v>
      </c>
      <c r="IE15">
        <v>-36.295000000000002</v>
      </c>
      <c r="IF15">
        <v>-29.899000000000001</v>
      </c>
      <c r="IG15">
        <v>-25.472999999999999</v>
      </c>
      <c r="IH15">
        <v>-26.945</v>
      </c>
      <c r="II15">
        <v>-35.335999999999999</v>
      </c>
      <c r="IJ15">
        <v>-48.331000000000003</v>
      </c>
      <c r="IK15">
        <v>-61.386000000000003</v>
      </c>
      <c r="IL15">
        <v>-69.680999999999997</v>
      </c>
      <c r="IM15">
        <v>-70.040000000000006</v>
      </c>
      <c r="IN15">
        <v>-62.08</v>
      </c>
      <c r="IO15">
        <v>-48.140999999999998</v>
      </c>
      <c r="IP15">
        <v>-32.131999999999998</v>
      </c>
      <c r="IQ15">
        <v>-17.841000000000001</v>
      </c>
      <c r="IR15">
        <v>-7.4720000000000004</v>
      </c>
      <c r="IS15">
        <v>-1.093</v>
      </c>
      <c r="IT15">
        <v>2.7829999999999999</v>
      </c>
      <c r="IU15">
        <v>5.843</v>
      </c>
      <c r="IV15">
        <v>8.7669999999999995</v>
      </c>
      <c r="IW15">
        <v>10.984999999999999</v>
      </c>
      <c r="IX15">
        <v>11.61</v>
      </c>
      <c r="IY15">
        <v>10.772</v>
      </c>
      <c r="IZ15">
        <v>10.164999999999999</v>
      </c>
      <c r="JA15">
        <v>12.116</v>
      </c>
      <c r="JB15">
        <v>17.649000000000001</v>
      </c>
      <c r="JC15">
        <v>25.024000000000001</v>
      </c>
      <c r="JD15">
        <v>30.338000000000001</v>
      </c>
      <c r="JE15">
        <v>30.390999999999998</v>
      </c>
      <c r="JF15">
        <v>25.279</v>
      </c>
      <c r="JG15" t="s">
        <v>77</v>
      </c>
    </row>
    <row r="16" spans="1:267" x14ac:dyDescent="0.4">
      <c r="A16">
        <v>15</v>
      </c>
      <c r="B16">
        <v>42</v>
      </c>
      <c r="C16">
        <v>1</v>
      </c>
      <c r="D16">
        <v>512</v>
      </c>
      <c r="E16">
        <v>0</v>
      </c>
      <c r="F16">
        <v>1691417753</v>
      </c>
      <c r="G16">
        <v>1</v>
      </c>
      <c r="H16" t="s">
        <v>27</v>
      </c>
      <c r="K16" t="s">
        <v>78</v>
      </c>
      <c r="M16">
        <v>8000</v>
      </c>
      <c r="N16">
        <v>30</v>
      </c>
      <c r="O16">
        <v>60</v>
      </c>
      <c r="P16">
        <v>90</v>
      </c>
      <c r="Q16">
        <v>5</v>
      </c>
      <c r="R16">
        <v>2</v>
      </c>
      <c r="S16">
        <v>40.96</v>
      </c>
      <c r="T16">
        <v>244</v>
      </c>
      <c r="U16">
        <v>0</v>
      </c>
      <c r="W16">
        <v>-18.734999999999999</v>
      </c>
      <c r="X16">
        <v>-9.8960000000000008</v>
      </c>
      <c r="Y16">
        <v>-4.5</v>
      </c>
      <c r="Z16">
        <v>-3.9529999999999998</v>
      </c>
      <c r="AA16">
        <v>-7.45</v>
      </c>
      <c r="AB16">
        <v>-12.298999999999999</v>
      </c>
      <c r="AC16">
        <v>-15.207000000000001</v>
      </c>
      <c r="AD16">
        <v>-13.816000000000001</v>
      </c>
      <c r="AE16">
        <v>-7.5880000000000001</v>
      </c>
      <c r="AF16">
        <v>2.3849999999999998</v>
      </c>
      <c r="AG16">
        <v>14.327999999999999</v>
      </c>
      <c r="AH16">
        <v>26.699000000000002</v>
      </c>
      <c r="AI16">
        <v>38.515999999999998</v>
      </c>
      <c r="AJ16">
        <v>49.192</v>
      </c>
      <c r="AK16">
        <v>58.290999999999997</v>
      </c>
      <c r="AL16">
        <v>65.412999999999997</v>
      </c>
      <c r="AM16">
        <v>70.129000000000005</v>
      </c>
      <c r="AN16">
        <v>71.944999999999993</v>
      </c>
      <c r="AO16">
        <v>70.472999999999999</v>
      </c>
      <c r="AP16">
        <v>65.936000000000007</v>
      </c>
      <c r="AQ16">
        <v>59.622</v>
      </c>
      <c r="AR16">
        <v>53.579000000000001</v>
      </c>
      <c r="AS16">
        <v>49.316000000000003</v>
      </c>
      <c r="AT16">
        <v>46.329000000000001</v>
      </c>
      <c r="AU16">
        <v>41.853999999999999</v>
      </c>
      <c r="AV16">
        <v>32.53</v>
      </c>
      <c r="AW16">
        <v>16.969000000000001</v>
      </c>
      <c r="AX16">
        <v>-2.7080000000000002</v>
      </c>
      <c r="AY16">
        <v>-21.61</v>
      </c>
      <c r="AZ16">
        <v>-34.634</v>
      </c>
      <c r="BA16">
        <v>-39.079000000000001</v>
      </c>
      <c r="BB16">
        <v>-35.680999999999997</v>
      </c>
      <c r="BC16">
        <v>-27.667999999999999</v>
      </c>
      <c r="BD16">
        <v>-18.745999999999999</v>
      </c>
      <c r="BE16">
        <v>-11.395</v>
      </c>
      <c r="BF16">
        <v>-6.3109999999999999</v>
      </c>
      <c r="BG16">
        <v>-2.9769999999999999</v>
      </c>
      <c r="BH16">
        <v>-0.71099999999999997</v>
      </c>
      <c r="BI16">
        <v>0.56200000000000006</v>
      </c>
      <c r="BJ16">
        <v>0.27</v>
      </c>
      <c r="BK16">
        <v>-2.2530000000000001</v>
      </c>
      <c r="BL16">
        <v>-7.1890000000000001</v>
      </c>
      <c r="BM16">
        <v>-14.053000000000001</v>
      </c>
      <c r="BN16">
        <v>-21.823</v>
      </c>
      <c r="BO16">
        <v>-29.114000000000001</v>
      </c>
      <c r="BP16">
        <v>-34.383000000000003</v>
      </c>
      <c r="BQ16">
        <v>-36.402000000000001</v>
      </c>
      <c r="BR16">
        <v>-34.965000000000003</v>
      </c>
      <c r="BS16">
        <v>-31.35</v>
      </c>
      <c r="BT16">
        <v>-27.954999999999998</v>
      </c>
      <c r="BU16">
        <v>-27.117000000000001</v>
      </c>
      <c r="BV16">
        <v>-29.818999999999999</v>
      </c>
      <c r="BW16">
        <v>-35.210999999999999</v>
      </c>
      <c r="BX16">
        <v>-41.271000000000001</v>
      </c>
      <c r="BY16">
        <v>-46.116</v>
      </c>
      <c r="BZ16">
        <v>-48.98</v>
      </c>
      <c r="CA16">
        <v>-50.204000000000001</v>
      </c>
      <c r="CB16">
        <v>-50.360999999999997</v>
      </c>
      <c r="CC16">
        <v>-49.347999999999999</v>
      </c>
      <c r="CD16">
        <v>-46.255000000000003</v>
      </c>
      <c r="CE16">
        <v>-40.133000000000003</v>
      </c>
      <c r="CF16">
        <v>-31.015000000000001</v>
      </c>
      <c r="CG16">
        <v>-20.297000000000001</v>
      </c>
      <c r="CH16">
        <v>-10.173999999999999</v>
      </c>
      <c r="CI16">
        <v>-2.5449999999999999</v>
      </c>
      <c r="CJ16">
        <v>1.837</v>
      </c>
      <c r="CK16">
        <v>3.5049999999999999</v>
      </c>
      <c r="CL16">
        <v>3.8490000000000002</v>
      </c>
      <c r="CM16">
        <v>4.6289999999999996</v>
      </c>
      <c r="CN16">
        <v>7.6879999999999997</v>
      </c>
      <c r="CO16">
        <v>14.634</v>
      </c>
      <c r="CP16">
        <v>26.190999999999999</v>
      </c>
      <c r="CQ16">
        <v>41.487000000000002</v>
      </c>
      <c r="CR16">
        <v>57.978999999999999</v>
      </c>
      <c r="CS16">
        <v>72.397000000000006</v>
      </c>
      <c r="CT16">
        <v>82.177999999999997</v>
      </c>
      <c r="CU16">
        <v>86.347999999999999</v>
      </c>
      <c r="CV16">
        <v>85.332999999999998</v>
      </c>
      <c r="CW16">
        <v>80.144999999999996</v>
      </c>
      <c r="CX16">
        <v>71.798000000000002</v>
      </c>
      <c r="CY16">
        <v>61.375</v>
      </c>
      <c r="CZ16">
        <v>50.29</v>
      </c>
      <c r="DA16">
        <v>40.125999999999998</v>
      </c>
      <c r="DB16">
        <v>31.917000000000002</v>
      </c>
      <c r="DC16">
        <v>25.419</v>
      </c>
      <c r="DD16">
        <v>19.068999999999999</v>
      </c>
      <c r="DE16">
        <v>10.831</v>
      </c>
      <c r="DF16">
        <v>-0.442</v>
      </c>
      <c r="DG16">
        <v>-13.917</v>
      </c>
      <c r="DH16">
        <v>-26.704999999999998</v>
      </c>
      <c r="DI16">
        <v>-35.125999999999998</v>
      </c>
      <c r="DJ16">
        <v>-36.777999999999999</v>
      </c>
      <c r="DK16">
        <v>-32.1</v>
      </c>
      <c r="DL16">
        <v>-24.251999999999999</v>
      </c>
      <c r="DM16">
        <v>-17.294</v>
      </c>
      <c r="DN16">
        <v>-13.932</v>
      </c>
      <c r="DO16">
        <v>-14.343999999999999</v>
      </c>
      <c r="DP16">
        <v>-16.574000000000002</v>
      </c>
      <c r="DQ16">
        <v>-17.925000000000001</v>
      </c>
      <c r="DR16">
        <v>-16.445</v>
      </c>
      <c r="DS16">
        <v>-11.912000000000001</v>
      </c>
      <c r="DT16">
        <v>-6.0389999999999997</v>
      </c>
      <c r="DU16">
        <v>-1.79</v>
      </c>
      <c r="DV16">
        <v>-1.9610000000000001</v>
      </c>
      <c r="DW16">
        <v>-7.641</v>
      </c>
      <c r="DX16">
        <v>-17.413</v>
      </c>
      <c r="DY16">
        <v>-27.908999999999999</v>
      </c>
      <c r="DZ16">
        <v>-35.569000000000003</v>
      </c>
      <c r="EA16">
        <v>-38.607999999999997</v>
      </c>
      <c r="EB16">
        <v>-37.915999999999997</v>
      </c>
      <c r="EC16">
        <v>-36.231999999999999</v>
      </c>
      <c r="ED16">
        <v>-36.156999999999996</v>
      </c>
      <c r="EE16">
        <v>-38.341000000000001</v>
      </c>
      <c r="EF16">
        <v>-40.970999999999997</v>
      </c>
      <c r="EG16">
        <v>-40.741999999999997</v>
      </c>
      <c r="EH16">
        <v>-34.667999999999999</v>
      </c>
      <c r="EI16">
        <v>-21.693000000000001</v>
      </c>
      <c r="EJ16">
        <v>-3.2450000000000001</v>
      </c>
      <c r="EK16">
        <v>17.542999999999999</v>
      </c>
      <c r="EL16">
        <v>37.378</v>
      </c>
      <c r="EM16">
        <v>54.064999999999998</v>
      </c>
      <c r="EN16">
        <v>66.787000000000006</v>
      </c>
      <c r="EO16">
        <v>75.581999999999994</v>
      </c>
      <c r="EP16">
        <v>80.674000000000007</v>
      </c>
      <c r="EQ16">
        <v>82.186999999999998</v>
      </c>
      <c r="ER16">
        <v>80.253</v>
      </c>
      <c r="ES16">
        <v>75.307000000000002</v>
      </c>
      <c r="ET16">
        <v>68.277000000000001</v>
      </c>
      <c r="EU16">
        <v>60.468000000000004</v>
      </c>
      <c r="EV16">
        <v>53.002000000000002</v>
      </c>
      <c r="EW16">
        <v>46.012999999999998</v>
      </c>
      <c r="EX16">
        <v>38.174999999999997</v>
      </c>
      <c r="EY16">
        <v>27.172999999999998</v>
      </c>
      <c r="EZ16">
        <v>11.211</v>
      </c>
      <c r="FA16">
        <v>-9.2710000000000008</v>
      </c>
      <c r="FB16">
        <v>-30.925000000000001</v>
      </c>
      <c r="FC16">
        <v>-48.631</v>
      </c>
      <c r="FD16">
        <v>-57.994</v>
      </c>
      <c r="FE16">
        <v>-57.718000000000004</v>
      </c>
      <c r="FF16">
        <v>-50.338000000000001</v>
      </c>
      <c r="FG16">
        <v>-40.865000000000002</v>
      </c>
      <c r="FH16">
        <v>-34.299999999999997</v>
      </c>
      <c r="FI16">
        <v>-33.481000000000002</v>
      </c>
      <c r="FJ16">
        <v>-38.273000000000003</v>
      </c>
      <c r="FK16">
        <v>-46.125999999999998</v>
      </c>
      <c r="FL16">
        <v>-53.475999999999999</v>
      </c>
      <c r="FM16">
        <v>-57.296999999999997</v>
      </c>
      <c r="FN16">
        <v>-56.249000000000002</v>
      </c>
      <c r="FO16">
        <v>-51.003</v>
      </c>
      <c r="FP16">
        <v>-43.661999999999999</v>
      </c>
      <c r="FQ16">
        <v>-36.570999999999998</v>
      </c>
      <c r="FR16">
        <v>-31.106000000000002</v>
      </c>
      <c r="FS16">
        <v>-27.088000000000001</v>
      </c>
      <c r="FT16">
        <v>-23.173999999999999</v>
      </c>
      <c r="FU16">
        <v>-17.998000000000001</v>
      </c>
      <c r="FV16">
        <v>-11.334</v>
      </c>
      <c r="FW16">
        <v>-4.5010000000000003</v>
      </c>
      <c r="FX16">
        <v>0.25600000000000001</v>
      </c>
      <c r="FY16">
        <v>1.0429999999999999</v>
      </c>
      <c r="FZ16">
        <v>-2.5579999999999998</v>
      </c>
      <c r="GA16">
        <v>-9.1370000000000005</v>
      </c>
      <c r="GB16">
        <v>-16.029</v>
      </c>
      <c r="GC16">
        <v>-20.407</v>
      </c>
      <c r="GD16">
        <v>-20.36</v>
      </c>
      <c r="GE16">
        <v>-15.541</v>
      </c>
      <c r="GF16">
        <v>-7.24</v>
      </c>
      <c r="GG16">
        <v>2.089</v>
      </c>
      <c r="GH16">
        <v>9.7200000000000006</v>
      </c>
      <c r="GI16">
        <v>13.715</v>
      </c>
      <c r="GJ16">
        <v>13.768000000000001</v>
      </c>
      <c r="GK16">
        <v>11.457000000000001</v>
      </c>
      <c r="GL16">
        <v>9.6020000000000003</v>
      </c>
      <c r="GM16">
        <v>10.895</v>
      </c>
      <c r="GN16">
        <v>16.451000000000001</v>
      </c>
      <c r="GO16">
        <v>25.225000000000001</v>
      </c>
      <c r="GP16">
        <v>34.811</v>
      </c>
      <c r="GQ16">
        <v>43.079000000000001</v>
      </c>
      <c r="GR16">
        <v>49.427999999999997</v>
      </c>
      <c r="GS16">
        <v>54.718000000000004</v>
      </c>
      <c r="GT16">
        <v>60.094000000000001</v>
      </c>
      <c r="GU16">
        <v>65.784999999999997</v>
      </c>
      <c r="GV16">
        <v>70.781999999999996</v>
      </c>
      <c r="GW16">
        <v>73.462999999999994</v>
      </c>
      <c r="GX16">
        <v>72.504999999999995</v>
      </c>
      <c r="GY16">
        <v>67.480999999999995</v>
      </c>
      <c r="GZ16">
        <v>58.920999999999999</v>
      </c>
      <c r="HA16">
        <v>47.963999999999999</v>
      </c>
      <c r="HB16">
        <v>35.798999999999999</v>
      </c>
      <c r="HC16">
        <v>23.138000000000002</v>
      </c>
      <c r="HD16">
        <v>10.113</v>
      </c>
      <c r="HE16">
        <v>-3.278</v>
      </c>
      <c r="HF16">
        <v>-16.498000000000001</v>
      </c>
      <c r="HG16">
        <v>-28.167999999999999</v>
      </c>
      <c r="HH16">
        <v>-36.43</v>
      </c>
      <c r="HI16">
        <v>-39.659999999999997</v>
      </c>
      <c r="HJ16">
        <v>-37.122999999999998</v>
      </c>
      <c r="HK16">
        <v>-29.425999999999998</v>
      </c>
      <c r="HL16">
        <v>-18.709</v>
      </c>
      <c r="HM16">
        <v>-8.3119999999999994</v>
      </c>
      <c r="HN16">
        <v>-1.64</v>
      </c>
      <c r="HO16">
        <v>-0.57799999999999996</v>
      </c>
      <c r="HP16">
        <v>-4.4790000000000001</v>
      </c>
      <c r="HQ16">
        <v>-10.612</v>
      </c>
      <c r="HR16">
        <v>-15.920999999999999</v>
      </c>
      <c r="HS16">
        <v>-18.850000000000001</v>
      </c>
      <c r="HT16">
        <v>-19.849</v>
      </c>
      <c r="HU16">
        <v>-20.295000000000002</v>
      </c>
      <c r="HV16">
        <v>-20.925999999999998</v>
      </c>
      <c r="HW16">
        <v>-21.228000000000002</v>
      </c>
      <c r="HX16">
        <v>-20.263999999999999</v>
      </c>
      <c r="HY16">
        <v>-18.016999999999999</v>
      </c>
      <c r="HZ16">
        <v>-15.956</v>
      </c>
      <c r="IA16">
        <v>-16.285</v>
      </c>
      <c r="IB16">
        <v>-20.484000000000002</v>
      </c>
      <c r="IC16">
        <v>-28.242999999999999</v>
      </c>
      <c r="ID16">
        <v>-37.521999999999998</v>
      </c>
      <c r="IE16">
        <v>-45.694000000000003</v>
      </c>
      <c r="IF16">
        <v>-50.994999999999997</v>
      </c>
      <c r="IG16">
        <v>-53.305999999999997</v>
      </c>
      <c r="IH16">
        <v>-53.701000000000001</v>
      </c>
      <c r="II16">
        <v>-53.158000000000001</v>
      </c>
      <c r="IJ16">
        <v>-51.496000000000002</v>
      </c>
      <c r="IK16">
        <v>-47.456000000000003</v>
      </c>
      <c r="IL16">
        <v>-39.784999999999997</v>
      </c>
      <c r="IM16">
        <v>-28.363</v>
      </c>
      <c r="IN16">
        <v>-14.473000000000001</v>
      </c>
      <c r="IO16">
        <v>-0.16900000000000001</v>
      </c>
      <c r="IP16">
        <v>12.637</v>
      </c>
      <c r="IQ16">
        <v>22.832999999999998</v>
      </c>
      <c r="IR16">
        <v>30.401</v>
      </c>
      <c r="IS16">
        <v>36.573999999999998</v>
      </c>
      <c r="IT16">
        <v>43.929000000000002</v>
      </c>
      <c r="IU16">
        <v>56.110999999999997</v>
      </c>
      <c r="IV16">
        <v>76.591999999999999</v>
      </c>
      <c r="IW16">
        <v>106.193</v>
      </c>
      <c r="IX16">
        <v>140.10300000000001</v>
      </c>
      <c r="IY16">
        <v>166.37700000000001</v>
      </c>
      <c r="IZ16">
        <v>168.41200000000001</v>
      </c>
      <c r="JA16">
        <v>132.364</v>
      </c>
      <c r="JB16">
        <v>57.024999999999999</v>
      </c>
      <c r="JC16">
        <v>-40.314</v>
      </c>
      <c r="JD16">
        <v>-129.64699999999999</v>
      </c>
      <c r="JE16">
        <v>-187.38399999999999</v>
      </c>
      <c r="JF16">
        <v>-213.19900000000001</v>
      </c>
      <c r="JG16" t="s">
        <v>77</v>
      </c>
    </row>
    <row r="17" spans="1:267" x14ac:dyDescent="0.4">
      <c r="A17">
        <v>16</v>
      </c>
      <c r="B17">
        <v>43</v>
      </c>
      <c r="C17">
        <v>1</v>
      </c>
      <c r="D17">
        <v>512</v>
      </c>
      <c r="E17">
        <v>0</v>
      </c>
      <c r="F17">
        <v>1691417777</v>
      </c>
      <c r="G17">
        <v>1</v>
      </c>
      <c r="H17" t="s">
        <v>27</v>
      </c>
      <c r="K17" t="s">
        <v>78</v>
      </c>
      <c r="M17">
        <v>8000</v>
      </c>
      <c r="N17">
        <v>20</v>
      </c>
      <c r="O17">
        <v>70</v>
      </c>
      <c r="P17">
        <v>90</v>
      </c>
      <c r="Q17">
        <v>5</v>
      </c>
      <c r="R17">
        <v>2</v>
      </c>
      <c r="S17">
        <v>40.96</v>
      </c>
      <c r="T17">
        <v>244</v>
      </c>
      <c r="U17">
        <v>0</v>
      </c>
      <c r="W17">
        <v>-11.342000000000001</v>
      </c>
      <c r="X17">
        <v>1.028</v>
      </c>
      <c r="Y17">
        <v>8.39</v>
      </c>
      <c r="Z17">
        <v>12.37</v>
      </c>
      <c r="AA17">
        <v>16.332999999999998</v>
      </c>
      <c r="AB17">
        <v>23.023</v>
      </c>
      <c r="AC17">
        <v>32.707000000000001</v>
      </c>
      <c r="AD17">
        <v>42.786000000000001</v>
      </c>
      <c r="AE17">
        <v>48.985999999999997</v>
      </c>
      <c r="AF17">
        <v>47.607999999999997</v>
      </c>
      <c r="AG17">
        <v>37.866</v>
      </c>
      <c r="AH17">
        <v>23.096</v>
      </c>
      <c r="AI17">
        <v>9.8770000000000007</v>
      </c>
      <c r="AJ17">
        <v>5.2050000000000001</v>
      </c>
      <c r="AK17">
        <v>13.079000000000001</v>
      </c>
      <c r="AL17">
        <v>32.42</v>
      </c>
      <c r="AM17">
        <v>57.5</v>
      </c>
      <c r="AN17">
        <v>80.569999999999993</v>
      </c>
      <c r="AO17">
        <v>95.194000000000003</v>
      </c>
      <c r="AP17">
        <v>98.611000000000004</v>
      </c>
      <c r="AQ17">
        <v>92.212000000000003</v>
      </c>
      <c r="AR17">
        <v>80.16</v>
      </c>
      <c r="AS17">
        <v>66.962999999999994</v>
      </c>
      <c r="AT17">
        <v>55.219000000000001</v>
      </c>
      <c r="AU17">
        <v>44.71</v>
      </c>
      <c r="AV17">
        <v>33.338999999999999</v>
      </c>
      <c r="AW17">
        <v>19.265000000000001</v>
      </c>
      <c r="AX17">
        <v>2.7989999999999999</v>
      </c>
      <c r="AY17">
        <v>-13.291</v>
      </c>
      <c r="AZ17">
        <v>-25.257999999999999</v>
      </c>
      <c r="BA17">
        <v>-30.59</v>
      </c>
      <c r="BB17">
        <v>-29.41</v>
      </c>
      <c r="BC17">
        <v>-24.245999999999999</v>
      </c>
      <c r="BD17">
        <v>-18.597000000000001</v>
      </c>
      <c r="BE17">
        <v>-15.416</v>
      </c>
      <c r="BF17">
        <v>-16.314</v>
      </c>
      <c r="BG17">
        <v>-21.571999999999999</v>
      </c>
      <c r="BH17">
        <v>-30.454000000000001</v>
      </c>
      <c r="BI17">
        <v>-41.426000000000002</v>
      </c>
      <c r="BJ17">
        <v>-52.183999999999997</v>
      </c>
      <c r="BK17">
        <v>-59.813000000000002</v>
      </c>
      <c r="BL17">
        <v>-61.421999999999997</v>
      </c>
      <c r="BM17">
        <v>-55.218000000000004</v>
      </c>
      <c r="BN17">
        <v>-41.463000000000001</v>
      </c>
      <c r="BO17">
        <v>-22.61</v>
      </c>
      <c r="BP17">
        <v>-2.3839999999999999</v>
      </c>
      <c r="BQ17">
        <v>15.734</v>
      </c>
      <c r="BR17">
        <v>29.731000000000002</v>
      </c>
      <c r="BS17">
        <v>39.332000000000001</v>
      </c>
      <c r="BT17">
        <v>45.283000000000001</v>
      </c>
      <c r="BU17">
        <v>48.237000000000002</v>
      </c>
      <c r="BV17">
        <v>47.988</v>
      </c>
      <c r="BW17">
        <v>43.473999999999997</v>
      </c>
      <c r="BX17">
        <v>33.514000000000003</v>
      </c>
      <c r="BY17">
        <v>17.858000000000001</v>
      </c>
      <c r="BZ17">
        <v>-2.0190000000000001</v>
      </c>
      <c r="CA17">
        <v>-22.896000000000001</v>
      </c>
      <c r="CB17">
        <v>-40.802</v>
      </c>
      <c r="CC17">
        <v>-52.625999999999998</v>
      </c>
      <c r="CD17">
        <v>-57.453000000000003</v>
      </c>
      <c r="CE17">
        <v>-56.795999999999999</v>
      </c>
      <c r="CF17">
        <v>-53.603000000000002</v>
      </c>
      <c r="CG17">
        <v>-50.792999999999999</v>
      </c>
      <c r="CH17">
        <v>-50.231999999999999</v>
      </c>
      <c r="CI17">
        <v>-52.564999999999998</v>
      </c>
      <c r="CJ17">
        <v>-57.55</v>
      </c>
      <c r="CK17">
        <v>-64.369</v>
      </c>
      <c r="CL17">
        <v>-71.64</v>
      </c>
      <c r="CM17">
        <v>-77.325000000000003</v>
      </c>
      <c r="CN17">
        <v>-78.95</v>
      </c>
      <c r="CO17">
        <v>-74.356999999999999</v>
      </c>
      <c r="CP17">
        <v>-62.792000000000002</v>
      </c>
      <c r="CQ17">
        <v>-45.667000000000002</v>
      </c>
      <c r="CR17">
        <v>-26.344999999999999</v>
      </c>
      <c r="CS17">
        <v>-8.7859999999999996</v>
      </c>
      <c r="CT17">
        <v>4.3529999999999998</v>
      </c>
      <c r="CU17">
        <v>13.147</v>
      </c>
      <c r="CV17">
        <v>20.434000000000001</v>
      </c>
      <c r="CW17">
        <v>30.279</v>
      </c>
      <c r="CX17">
        <v>45.664000000000001</v>
      </c>
      <c r="CY17">
        <v>66.722999999999999</v>
      </c>
      <c r="CZ17">
        <v>90.495000000000005</v>
      </c>
      <c r="DA17">
        <v>112.184</v>
      </c>
      <c r="DB17">
        <v>127.15900000000001</v>
      </c>
      <c r="DC17">
        <v>132.66499999999999</v>
      </c>
      <c r="DD17">
        <v>128.619</v>
      </c>
      <c r="DE17">
        <v>117.29900000000001</v>
      </c>
      <c r="DF17">
        <v>102.182</v>
      </c>
      <c r="DG17">
        <v>86.436000000000007</v>
      </c>
      <c r="DH17">
        <v>71.789000000000001</v>
      </c>
      <c r="DI17">
        <v>58.26</v>
      </c>
      <c r="DJ17">
        <v>44.808999999999997</v>
      </c>
      <c r="DK17">
        <v>30.456</v>
      </c>
      <c r="DL17">
        <v>15.315</v>
      </c>
      <c r="DM17">
        <v>1.032</v>
      </c>
      <c r="DN17">
        <v>-9.6590000000000007</v>
      </c>
      <c r="DO17">
        <v>-14.228</v>
      </c>
      <c r="DP17">
        <v>-11.941000000000001</v>
      </c>
      <c r="DQ17">
        <v>-4.8449999999999998</v>
      </c>
      <c r="DR17">
        <v>2.5920000000000001</v>
      </c>
      <c r="DS17">
        <v>5.2069999999999999</v>
      </c>
      <c r="DT17">
        <v>-0.56100000000000005</v>
      </c>
      <c r="DU17">
        <v>-14.958</v>
      </c>
      <c r="DV17">
        <v>-34.618000000000002</v>
      </c>
      <c r="DW17">
        <v>-53.847000000000001</v>
      </c>
      <c r="DX17">
        <v>-67.006</v>
      </c>
      <c r="DY17">
        <v>-70.950999999999993</v>
      </c>
      <c r="DZ17">
        <v>-66.266000000000005</v>
      </c>
      <c r="EA17">
        <v>-56.540999999999997</v>
      </c>
      <c r="EB17">
        <v>-46.170999999999999</v>
      </c>
      <c r="EC17">
        <v>-38.167000000000002</v>
      </c>
      <c r="ED17">
        <v>-33.353999999999999</v>
      </c>
      <c r="EE17">
        <v>-31.108000000000001</v>
      </c>
      <c r="EF17">
        <v>-30.669</v>
      </c>
      <c r="EG17">
        <v>-31.978000000000002</v>
      </c>
      <c r="EH17">
        <v>-35.576000000000001</v>
      </c>
      <c r="EI17">
        <v>-41.872999999999998</v>
      </c>
      <c r="EJ17">
        <v>-50.369</v>
      </c>
      <c r="EK17">
        <v>-59.401000000000003</v>
      </c>
      <c r="EL17">
        <v>-66.637</v>
      </c>
      <c r="EM17">
        <v>-70.075999999999993</v>
      </c>
      <c r="EN17">
        <v>-68.927000000000007</v>
      </c>
      <c r="EO17">
        <v>-63.738999999999997</v>
      </c>
      <c r="EP17">
        <v>-55.631999999999998</v>
      </c>
      <c r="EQ17">
        <v>-45.215000000000003</v>
      </c>
      <c r="ER17">
        <v>-32.054000000000002</v>
      </c>
      <c r="ES17">
        <v>-15.218999999999999</v>
      </c>
      <c r="ET17">
        <v>5.407</v>
      </c>
      <c r="EU17">
        <v>28.02</v>
      </c>
      <c r="EV17">
        <v>48.917000000000002</v>
      </c>
      <c r="EW17">
        <v>63.869</v>
      </c>
      <c r="EX17">
        <v>70.063000000000002</v>
      </c>
      <c r="EY17">
        <v>67.447000000000003</v>
      </c>
      <c r="EZ17">
        <v>58.642000000000003</v>
      </c>
      <c r="FA17">
        <v>47.594999999999999</v>
      </c>
      <c r="FB17">
        <v>37.9</v>
      </c>
      <c r="FC17">
        <v>31.763000000000002</v>
      </c>
      <c r="FD17">
        <v>29.873999999999999</v>
      </c>
      <c r="FE17">
        <v>31.888999999999999</v>
      </c>
      <c r="FF17">
        <v>36.963999999999999</v>
      </c>
      <c r="FG17">
        <v>43.994</v>
      </c>
      <c r="FH17">
        <v>51.53</v>
      </c>
      <c r="FI17">
        <v>57.728000000000002</v>
      </c>
      <c r="FJ17">
        <v>60.779000000000003</v>
      </c>
      <c r="FK17">
        <v>59.817</v>
      </c>
      <c r="FL17">
        <v>55.631</v>
      </c>
      <c r="FM17">
        <v>50.399000000000001</v>
      </c>
      <c r="FN17">
        <v>46.359000000000002</v>
      </c>
      <c r="FO17">
        <v>44.287999999999997</v>
      </c>
      <c r="FP17">
        <v>42.918999999999997</v>
      </c>
      <c r="FQ17">
        <v>39.734999999999999</v>
      </c>
      <c r="FR17">
        <v>32.579000000000001</v>
      </c>
      <c r="FS17">
        <v>20.986999999999998</v>
      </c>
      <c r="FT17">
        <v>6.4560000000000004</v>
      </c>
      <c r="FU17">
        <v>-8.3610000000000007</v>
      </c>
      <c r="FV17">
        <v>-20.922000000000001</v>
      </c>
      <c r="FW17">
        <v>-29.765999999999998</v>
      </c>
      <c r="FX17">
        <v>-34.79</v>
      </c>
      <c r="FY17">
        <v>-36.856000000000002</v>
      </c>
      <c r="FZ17">
        <v>-37.063000000000002</v>
      </c>
      <c r="GA17">
        <v>-36.090000000000003</v>
      </c>
      <c r="GB17">
        <v>-33.972999999999999</v>
      </c>
      <c r="GC17">
        <v>-30.422999999999998</v>
      </c>
      <c r="GD17">
        <v>-25.469000000000001</v>
      </c>
      <c r="GE17">
        <v>-19.971</v>
      </c>
      <c r="GF17">
        <v>-15.576000000000001</v>
      </c>
      <c r="GG17">
        <v>-14.077</v>
      </c>
      <c r="GH17">
        <v>-16.582999999999998</v>
      </c>
      <c r="GI17">
        <v>-23.07</v>
      </c>
      <c r="GJ17">
        <v>-32.515000000000001</v>
      </c>
      <c r="GK17">
        <v>-43.353999999999999</v>
      </c>
      <c r="GL17">
        <v>-53.889000000000003</v>
      </c>
      <c r="GM17">
        <v>-62.527999999999999</v>
      </c>
      <c r="GN17">
        <v>-68.022999999999996</v>
      </c>
      <c r="GO17">
        <v>-69.739999999999995</v>
      </c>
      <c r="GP17">
        <v>-67.825999999999993</v>
      </c>
      <c r="GQ17">
        <v>-63.095999999999997</v>
      </c>
      <c r="GR17">
        <v>-56.631</v>
      </c>
      <c r="GS17">
        <v>-49.253</v>
      </c>
      <c r="GT17">
        <v>-41.161000000000001</v>
      </c>
      <c r="GU17">
        <v>-32.017000000000003</v>
      </c>
      <c r="GV17">
        <v>-21.52</v>
      </c>
      <c r="GW17">
        <v>-10.057</v>
      </c>
      <c r="GX17">
        <v>1.1659999999999999</v>
      </c>
      <c r="GY17">
        <v>10.757999999999999</v>
      </c>
      <c r="GZ17">
        <v>18.146999999999998</v>
      </c>
      <c r="HA17">
        <v>24.187000000000001</v>
      </c>
      <c r="HB17">
        <v>30.797999999999998</v>
      </c>
      <c r="HC17">
        <v>39.683999999999997</v>
      </c>
      <c r="HD17">
        <v>50.923000000000002</v>
      </c>
      <c r="HE17">
        <v>62.448999999999998</v>
      </c>
      <c r="HF17">
        <v>70.957999999999998</v>
      </c>
      <c r="HG17">
        <v>73.852000000000004</v>
      </c>
      <c r="HH17">
        <v>71.051000000000002</v>
      </c>
      <c r="HI17">
        <v>65.421000000000006</v>
      </c>
      <c r="HJ17">
        <v>61.35</v>
      </c>
      <c r="HK17">
        <v>62.198999999999998</v>
      </c>
      <c r="HL17">
        <v>68.111000000000004</v>
      </c>
      <c r="HM17">
        <v>75.481999999999999</v>
      </c>
      <c r="HN17">
        <v>78.423000000000002</v>
      </c>
      <c r="HO17">
        <v>71.492000000000004</v>
      </c>
      <c r="HP17">
        <v>52.457000000000001</v>
      </c>
      <c r="HQ17">
        <v>23.8</v>
      </c>
      <c r="HR17">
        <v>-7.8630000000000004</v>
      </c>
      <c r="HS17">
        <v>-34.411999999999999</v>
      </c>
      <c r="HT17">
        <v>-49.722000000000001</v>
      </c>
      <c r="HU17">
        <v>-52.244999999999997</v>
      </c>
      <c r="HV17">
        <v>-45.277999999999999</v>
      </c>
      <c r="HW17">
        <v>-34.957999999999998</v>
      </c>
      <c r="HX17">
        <v>-27.268000000000001</v>
      </c>
      <c r="HY17">
        <v>-25.623999999999999</v>
      </c>
      <c r="HZ17">
        <v>-30.001000000000001</v>
      </c>
      <c r="IA17">
        <v>-37.606000000000002</v>
      </c>
      <c r="IB17">
        <v>-44.534999999999997</v>
      </c>
      <c r="IC17">
        <v>-47.594999999999999</v>
      </c>
      <c r="ID17">
        <v>-45.642000000000003</v>
      </c>
      <c r="IE17">
        <v>-39.997</v>
      </c>
      <c r="IF17">
        <v>-33.828000000000003</v>
      </c>
      <c r="IG17">
        <v>-30.617999999999999</v>
      </c>
      <c r="IH17">
        <v>-32.250999999999998</v>
      </c>
      <c r="II17">
        <v>-37.651000000000003</v>
      </c>
      <c r="IJ17">
        <v>-42.999000000000002</v>
      </c>
      <c r="IK17">
        <v>-43.746000000000002</v>
      </c>
      <c r="IL17">
        <v>-37.331000000000003</v>
      </c>
      <c r="IM17">
        <v>-24.75</v>
      </c>
      <c r="IN17">
        <v>-9.798</v>
      </c>
      <c r="IO17">
        <v>3.4079999999999999</v>
      </c>
      <c r="IP17">
        <v>12.707000000000001</v>
      </c>
      <c r="IQ17">
        <v>18.37</v>
      </c>
      <c r="IR17">
        <v>21.891999999999999</v>
      </c>
      <c r="IS17">
        <v>24.712</v>
      </c>
      <c r="IT17">
        <v>28.175000000000001</v>
      </c>
      <c r="IU17">
        <v>34.409999999999997</v>
      </c>
      <c r="IV17">
        <v>46.448999999999998</v>
      </c>
      <c r="IW17">
        <v>66.320999999999998</v>
      </c>
      <c r="IX17">
        <v>91.748999999999995</v>
      </c>
      <c r="IY17">
        <v>113.878</v>
      </c>
      <c r="IZ17">
        <v>118.791</v>
      </c>
      <c r="JA17">
        <v>94.009</v>
      </c>
      <c r="JB17">
        <v>37.774999999999999</v>
      </c>
      <c r="JC17">
        <v>-34.901000000000003</v>
      </c>
      <c r="JD17">
        <v>-96.94</v>
      </c>
      <c r="JE17">
        <v>-126.85299999999999</v>
      </c>
      <c r="JF17">
        <v>-124.84699999999999</v>
      </c>
      <c r="JG17" t="s">
        <v>77</v>
      </c>
    </row>
    <row r="18" spans="1:267" x14ac:dyDescent="0.4">
      <c r="A18">
        <v>17</v>
      </c>
      <c r="B18">
        <v>44</v>
      </c>
      <c r="C18">
        <v>1</v>
      </c>
      <c r="D18">
        <v>512</v>
      </c>
      <c r="E18">
        <v>0</v>
      </c>
      <c r="F18">
        <v>1691417802</v>
      </c>
      <c r="G18">
        <v>1</v>
      </c>
      <c r="H18" t="s">
        <v>27</v>
      </c>
      <c r="K18" t="s">
        <v>78</v>
      </c>
      <c r="M18">
        <v>16000</v>
      </c>
      <c r="N18">
        <v>90</v>
      </c>
      <c r="O18">
        <v>0</v>
      </c>
      <c r="P18">
        <v>90</v>
      </c>
      <c r="Q18">
        <v>5</v>
      </c>
      <c r="R18">
        <v>2</v>
      </c>
      <c r="S18">
        <v>40.96</v>
      </c>
      <c r="T18">
        <v>244</v>
      </c>
      <c r="U18">
        <v>0</v>
      </c>
      <c r="W18">
        <v>68.757999999999996</v>
      </c>
      <c r="X18">
        <v>128.339</v>
      </c>
      <c r="Y18">
        <v>167.92099999999999</v>
      </c>
      <c r="Z18">
        <v>181.6</v>
      </c>
      <c r="AA18">
        <v>172.416</v>
      </c>
      <c r="AB18">
        <v>149.33500000000001</v>
      </c>
      <c r="AC18">
        <v>122.533</v>
      </c>
      <c r="AD18">
        <v>99.531000000000006</v>
      </c>
      <c r="AE18">
        <v>83.445999999999998</v>
      </c>
      <c r="AF18">
        <v>73.304000000000002</v>
      </c>
      <c r="AG18">
        <v>65.653000000000006</v>
      </c>
      <c r="AH18">
        <v>56.628</v>
      </c>
      <c r="AI18">
        <v>43.787999999999997</v>
      </c>
      <c r="AJ18">
        <v>27.178000000000001</v>
      </c>
      <c r="AK18">
        <v>9.202</v>
      </c>
      <c r="AL18">
        <v>-6.6470000000000002</v>
      </c>
      <c r="AM18">
        <v>-17.512</v>
      </c>
      <c r="AN18">
        <v>-22.315000000000001</v>
      </c>
      <c r="AO18">
        <v>-21.742000000000001</v>
      </c>
      <c r="AP18">
        <v>-17.347000000000001</v>
      </c>
      <c r="AQ18">
        <v>-10.641999999999999</v>
      </c>
      <c r="AR18">
        <v>-2.819</v>
      </c>
      <c r="AS18">
        <v>4.88</v>
      </c>
      <c r="AT18">
        <v>10.718</v>
      </c>
      <c r="AU18">
        <v>12.545</v>
      </c>
      <c r="AV18">
        <v>8.5820000000000007</v>
      </c>
      <c r="AW18">
        <v>-1.512</v>
      </c>
      <c r="AX18">
        <v>-16.064</v>
      </c>
      <c r="AY18">
        <v>-31.879000000000001</v>
      </c>
      <c r="AZ18">
        <v>-45.673000000000002</v>
      </c>
      <c r="BA18">
        <v>-55.548999999999999</v>
      </c>
      <c r="BB18">
        <v>-61.527000000000001</v>
      </c>
      <c r="BC18">
        <v>-64.816999999999993</v>
      </c>
      <c r="BD18">
        <v>-66.542000000000002</v>
      </c>
      <c r="BE18">
        <v>-66.995000000000005</v>
      </c>
      <c r="BF18">
        <v>-65.938000000000002</v>
      </c>
      <c r="BG18">
        <v>-63.463999999999999</v>
      </c>
      <c r="BH18">
        <v>-60.427</v>
      </c>
      <c r="BI18">
        <v>-57.996000000000002</v>
      </c>
      <c r="BJ18">
        <v>-56.731000000000002</v>
      </c>
      <c r="BK18">
        <v>-56.06</v>
      </c>
      <c r="BL18">
        <v>-54.625999999999998</v>
      </c>
      <c r="BM18">
        <v>-51.262999999999998</v>
      </c>
      <c r="BN18">
        <v>-45.923999999999999</v>
      </c>
      <c r="BO18">
        <v>-39.966999999999999</v>
      </c>
      <c r="BP18">
        <v>-35.645000000000003</v>
      </c>
      <c r="BQ18">
        <v>-34.97</v>
      </c>
      <c r="BR18">
        <v>-38.485999999999997</v>
      </c>
      <c r="BS18">
        <v>-44.567</v>
      </c>
      <c r="BT18">
        <v>-49.73</v>
      </c>
      <c r="BU18">
        <v>-49.985999999999997</v>
      </c>
      <c r="BV18">
        <v>-42.578000000000003</v>
      </c>
      <c r="BW18">
        <v>-27.12</v>
      </c>
      <c r="BX18">
        <v>-5.468</v>
      </c>
      <c r="BY18">
        <v>19.477</v>
      </c>
      <c r="BZ18">
        <v>45.064</v>
      </c>
      <c r="CA18">
        <v>69.403000000000006</v>
      </c>
      <c r="CB18">
        <v>90.956999999999994</v>
      </c>
      <c r="CC18">
        <v>107.789</v>
      </c>
      <c r="CD18">
        <v>117.17</v>
      </c>
      <c r="CE18">
        <v>115.88500000000001</v>
      </c>
      <c r="CF18">
        <v>101.26600000000001</v>
      </c>
      <c r="CG18">
        <v>72.662000000000006</v>
      </c>
      <c r="CH18">
        <v>32.676000000000002</v>
      </c>
      <c r="CI18">
        <v>-12.699</v>
      </c>
      <c r="CJ18">
        <v>-55.488999999999997</v>
      </c>
      <c r="CK18">
        <v>-88.126999999999995</v>
      </c>
      <c r="CL18">
        <v>-105.6</v>
      </c>
      <c r="CM18">
        <v>-106.379</v>
      </c>
      <c r="CN18">
        <v>-92.02</v>
      </c>
      <c r="CO18">
        <v>-65.94</v>
      </c>
      <c r="CP18">
        <v>-31.957000000000001</v>
      </c>
      <c r="CQ18">
        <v>6.9009999999999998</v>
      </c>
      <c r="CR18">
        <v>48.844999999999999</v>
      </c>
      <c r="CS18">
        <v>92.819000000000003</v>
      </c>
      <c r="CT18">
        <v>137.452</v>
      </c>
      <c r="CU18">
        <v>180.256</v>
      </c>
      <c r="CV18">
        <v>217.678</v>
      </c>
      <c r="CW18">
        <v>245.90600000000001</v>
      </c>
      <c r="CX18">
        <v>261.83</v>
      </c>
      <c r="CY18">
        <v>263.685</v>
      </c>
      <c r="CZ18">
        <v>251.24799999999999</v>
      </c>
      <c r="DA18">
        <v>225.74</v>
      </c>
      <c r="DB18">
        <v>189.51499999999999</v>
      </c>
      <c r="DC18">
        <v>145.55799999999999</v>
      </c>
      <c r="DD18">
        <v>96.861999999999995</v>
      </c>
      <c r="DE18">
        <v>45.835999999999999</v>
      </c>
      <c r="DF18">
        <v>-6.0389999999999997</v>
      </c>
      <c r="DG18">
        <v>-58.061999999999998</v>
      </c>
      <c r="DH18">
        <v>-109.63500000000001</v>
      </c>
      <c r="DI18">
        <v>-159.33000000000001</v>
      </c>
      <c r="DJ18">
        <v>-204.28899999999999</v>
      </c>
      <c r="DK18">
        <v>-240.43299999999999</v>
      </c>
      <c r="DL18">
        <v>-263.642</v>
      </c>
      <c r="DM18">
        <v>-271.392</v>
      </c>
      <c r="DN18">
        <v>-263.93900000000002</v>
      </c>
      <c r="DO18">
        <v>-244.24</v>
      </c>
      <c r="DP18">
        <v>-216.578</v>
      </c>
      <c r="DQ18">
        <v>-184.72300000000001</v>
      </c>
      <c r="DR18">
        <v>-150.708</v>
      </c>
      <c r="DS18">
        <v>-114.849</v>
      </c>
      <c r="DT18">
        <v>-76.882000000000005</v>
      </c>
      <c r="DU18">
        <v>-37.408000000000001</v>
      </c>
      <c r="DV18">
        <v>1.365</v>
      </c>
      <c r="DW18">
        <v>36.165999999999997</v>
      </c>
      <c r="DX18">
        <v>64.106999999999999</v>
      </c>
      <c r="DY18">
        <v>83.807000000000002</v>
      </c>
      <c r="DZ18">
        <v>95.23</v>
      </c>
      <c r="EA18">
        <v>98.436999999999998</v>
      </c>
      <c r="EB18">
        <v>92.594999999999999</v>
      </c>
      <c r="EC18">
        <v>76.444000000000003</v>
      </c>
      <c r="ED18">
        <v>50.040999999999997</v>
      </c>
      <c r="EE18">
        <v>16.376000000000001</v>
      </c>
      <c r="EF18">
        <v>-18.635000000000002</v>
      </c>
      <c r="EG18">
        <v>-48.02</v>
      </c>
      <c r="EH18">
        <v>-66.453999999999994</v>
      </c>
      <c r="EI18">
        <v>-72.159000000000006</v>
      </c>
      <c r="EJ18">
        <v>-66.953000000000003</v>
      </c>
      <c r="EK18">
        <v>-54.555</v>
      </c>
      <c r="EL18">
        <v>-38.421999999999997</v>
      </c>
      <c r="EM18">
        <v>-20.565000000000001</v>
      </c>
      <c r="EN18">
        <v>-1.766</v>
      </c>
      <c r="EO18">
        <v>17.606999999999999</v>
      </c>
      <c r="EP18">
        <v>37.249000000000002</v>
      </c>
      <c r="EQ18">
        <v>57.158999999999999</v>
      </c>
      <c r="ER18">
        <v>77.686000000000007</v>
      </c>
      <c r="ES18">
        <v>98.713999999999999</v>
      </c>
      <c r="ET18">
        <v>118.342</v>
      </c>
      <c r="EU18">
        <v>132.30099999999999</v>
      </c>
      <c r="EV18">
        <v>135.149</v>
      </c>
      <c r="EW18">
        <v>122.99299999999999</v>
      </c>
      <c r="EX18">
        <v>96.13</v>
      </c>
      <c r="EY18">
        <v>59.655999999999999</v>
      </c>
      <c r="EZ18">
        <v>21.39</v>
      </c>
      <c r="FA18">
        <v>-11.752000000000001</v>
      </c>
      <c r="FB18">
        <v>-36.737000000000002</v>
      </c>
      <c r="FC18">
        <v>-55.095999999999997</v>
      </c>
      <c r="FD18">
        <v>-71.174000000000007</v>
      </c>
      <c r="FE18">
        <v>-89.260999999999996</v>
      </c>
      <c r="FF18">
        <v>-111.33499999999999</v>
      </c>
      <c r="FG18">
        <v>-136.43</v>
      </c>
      <c r="FH18">
        <v>-161.47900000000001</v>
      </c>
      <c r="FI18">
        <v>-182.768</v>
      </c>
      <c r="FJ18">
        <v>-197.136</v>
      </c>
      <c r="FK18">
        <v>-202.50800000000001</v>
      </c>
      <c r="FL18">
        <v>-197.77199999999999</v>
      </c>
      <c r="FM18">
        <v>-182.18199999999999</v>
      </c>
      <c r="FN18">
        <v>-154.67699999999999</v>
      </c>
      <c r="FO18">
        <v>-113.67</v>
      </c>
      <c r="FP18">
        <v>-57.892000000000003</v>
      </c>
      <c r="FQ18">
        <v>11.702999999999999</v>
      </c>
      <c r="FR18">
        <v>90.033000000000001</v>
      </c>
      <c r="FS18">
        <v>167.602</v>
      </c>
      <c r="FT18">
        <v>232.80799999999999</v>
      </c>
      <c r="FU18">
        <v>276.14699999999999</v>
      </c>
      <c r="FV18">
        <v>294.16199999999998</v>
      </c>
      <c r="FW18">
        <v>290.81</v>
      </c>
      <c r="FX18">
        <v>275.26799999999997</v>
      </c>
      <c r="FY18">
        <v>257.29899999999998</v>
      </c>
      <c r="FZ18">
        <v>242.727</v>
      </c>
      <c r="GA18">
        <v>231.47399999999999</v>
      </c>
      <c r="GB18">
        <v>219.023</v>
      </c>
      <c r="GC18">
        <v>200.12700000000001</v>
      </c>
      <c r="GD18">
        <v>172.34800000000001</v>
      </c>
      <c r="GE18">
        <v>137.322</v>
      </c>
      <c r="GF18">
        <v>99.266999999999996</v>
      </c>
      <c r="GG18">
        <v>62.076000000000001</v>
      </c>
      <c r="GH18">
        <v>27.201000000000001</v>
      </c>
      <c r="GI18">
        <v>-6.2560000000000002</v>
      </c>
      <c r="GJ18">
        <v>-39.648000000000003</v>
      </c>
      <c r="GK18">
        <v>-72.864999999999995</v>
      </c>
      <c r="GL18">
        <v>-103.98</v>
      </c>
      <c r="GM18">
        <v>-130.517</v>
      </c>
      <c r="GN18">
        <v>-151.072</v>
      </c>
      <c r="GO18">
        <v>-165.965</v>
      </c>
      <c r="GP18">
        <v>-176.571</v>
      </c>
      <c r="GQ18">
        <v>-183.97300000000001</v>
      </c>
      <c r="GR18">
        <v>-187.88399999999999</v>
      </c>
      <c r="GS18">
        <v>-186.52600000000001</v>
      </c>
      <c r="GT18">
        <v>-177.619</v>
      </c>
      <c r="GU18">
        <v>-160.06</v>
      </c>
      <c r="GV18">
        <v>-135.30000000000001</v>
      </c>
      <c r="GW18">
        <v>-107.41800000000001</v>
      </c>
      <c r="GX18">
        <v>-81.525000000000006</v>
      </c>
      <c r="GY18">
        <v>-61.290999999999997</v>
      </c>
      <c r="GZ18">
        <v>-47.104999999999997</v>
      </c>
      <c r="HA18">
        <v>-36.118000000000002</v>
      </c>
      <c r="HB18">
        <v>-24.225000000000001</v>
      </c>
      <c r="HC18">
        <v>-8.76</v>
      </c>
      <c r="HD18">
        <v>9.83</v>
      </c>
      <c r="HE18">
        <v>28.347000000000001</v>
      </c>
      <c r="HF18">
        <v>42.890999999999998</v>
      </c>
      <c r="HG18">
        <v>51.136000000000003</v>
      </c>
      <c r="HH18">
        <v>53.320999999999998</v>
      </c>
      <c r="HI18">
        <v>51.414999999999999</v>
      </c>
      <c r="HJ18">
        <v>47.235999999999997</v>
      </c>
      <c r="HK18">
        <v>40.984999999999999</v>
      </c>
      <c r="HL18">
        <v>31.262</v>
      </c>
      <c r="HM18">
        <v>16.47</v>
      </c>
      <c r="HN18">
        <v>-3.4710000000000001</v>
      </c>
      <c r="HO18">
        <v>-26.300999999999998</v>
      </c>
      <c r="HP18">
        <v>-47.911000000000001</v>
      </c>
      <c r="HQ18">
        <v>-63.774000000000001</v>
      </c>
      <c r="HR18">
        <v>-70.522000000000006</v>
      </c>
      <c r="HS18">
        <v>-67.021000000000001</v>
      </c>
      <c r="HT18">
        <v>-54.645000000000003</v>
      </c>
      <c r="HU18">
        <v>-36.793999999999997</v>
      </c>
      <c r="HV18">
        <v>-17.887</v>
      </c>
      <c r="HW18">
        <v>-2.0840000000000001</v>
      </c>
      <c r="HX18">
        <v>7.9180000000000001</v>
      </c>
      <c r="HY18">
        <v>11.641999999999999</v>
      </c>
      <c r="HZ18">
        <v>10.879</v>
      </c>
      <c r="IA18">
        <v>8.9540000000000006</v>
      </c>
      <c r="IB18">
        <v>9.4570000000000007</v>
      </c>
      <c r="IC18">
        <v>14.849</v>
      </c>
      <c r="ID18">
        <v>25.436</v>
      </c>
      <c r="IE18">
        <v>39.167999999999999</v>
      </c>
      <c r="IF18">
        <v>52.374000000000002</v>
      </c>
      <c r="IG18">
        <v>61.091999999999999</v>
      </c>
      <c r="IH18">
        <v>62.323</v>
      </c>
      <c r="II18">
        <v>54.84</v>
      </c>
      <c r="IJ18">
        <v>39.540999999999997</v>
      </c>
      <c r="IK18">
        <v>19.478999999999999</v>
      </c>
      <c r="IL18">
        <v>-0.58899999999999997</v>
      </c>
      <c r="IM18">
        <v>-15.32</v>
      </c>
      <c r="IN18">
        <v>-20.41</v>
      </c>
      <c r="IO18">
        <v>-14.065</v>
      </c>
      <c r="IP18">
        <v>2.335</v>
      </c>
      <c r="IQ18">
        <v>24.657</v>
      </c>
      <c r="IR18">
        <v>47.337000000000003</v>
      </c>
      <c r="IS18">
        <v>65.150000000000006</v>
      </c>
      <c r="IT18">
        <v>75.003</v>
      </c>
      <c r="IU18">
        <v>77.2</v>
      </c>
      <c r="IV18">
        <v>75.381</v>
      </c>
      <c r="IW18">
        <v>74.436999999999998</v>
      </c>
      <c r="IX18">
        <v>76.738</v>
      </c>
      <c r="IY18">
        <v>78.700999999999993</v>
      </c>
      <c r="IZ18">
        <v>70.616</v>
      </c>
      <c r="JA18">
        <v>41.597999999999999</v>
      </c>
      <c r="JB18">
        <v>-11.798</v>
      </c>
      <c r="JC18">
        <v>-78.844999999999999</v>
      </c>
      <c r="JD18">
        <v>-137.25800000000001</v>
      </c>
      <c r="JE18">
        <v>-168.13499999999999</v>
      </c>
      <c r="JF18">
        <v>-170.75200000000001</v>
      </c>
      <c r="JG18" t="s">
        <v>77</v>
      </c>
    </row>
    <row r="19" spans="1:267" x14ac:dyDescent="0.4">
      <c r="A19">
        <v>18</v>
      </c>
      <c r="B19">
        <v>45</v>
      </c>
      <c r="C19">
        <v>1</v>
      </c>
      <c r="D19">
        <v>512</v>
      </c>
      <c r="E19">
        <v>0</v>
      </c>
      <c r="F19">
        <v>1691417827</v>
      </c>
      <c r="G19">
        <v>1</v>
      </c>
      <c r="H19" t="s">
        <v>27</v>
      </c>
      <c r="K19" t="s">
        <v>78</v>
      </c>
      <c r="M19">
        <v>16000</v>
      </c>
      <c r="N19">
        <v>80</v>
      </c>
      <c r="O19">
        <v>10</v>
      </c>
      <c r="P19">
        <v>90</v>
      </c>
      <c r="Q19">
        <v>5</v>
      </c>
      <c r="R19">
        <v>2</v>
      </c>
      <c r="S19">
        <v>40.96</v>
      </c>
      <c r="T19">
        <v>244</v>
      </c>
      <c r="U19">
        <v>0</v>
      </c>
      <c r="W19">
        <v>43.667000000000002</v>
      </c>
      <c r="X19">
        <v>123.889</v>
      </c>
      <c r="Y19">
        <v>170.53</v>
      </c>
      <c r="Z19">
        <v>179.64599999999999</v>
      </c>
      <c r="AA19">
        <v>160.71799999999999</v>
      </c>
      <c r="AB19">
        <v>129.91499999999999</v>
      </c>
      <c r="AC19">
        <v>102.312</v>
      </c>
      <c r="AD19">
        <v>86.914000000000001</v>
      </c>
      <c r="AE19">
        <v>85.552999999999997</v>
      </c>
      <c r="AF19">
        <v>94.616</v>
      </c>
      <c r="AG19">
        <v>107.92400000000001</v>
      </c>
      <c r="AH19">
        <v>119.46299999999999</v>
      </c>
      <c r="AI19">
        <v>125.363</v>
      </c>
      <c r="AJ19">
        <v>124.83799999999999</v>
      </c>
      <c r="AK19">
        <v>119.89400000000001</v>
      </c>
      <c r="AL19">
        <v>113.875</v>
      </c>
      <c r="AM19">
        <v>109.42400000000001</v>
      </c>
      <c r="AN19">
        <v>106.846</v>
      </c>
      <c r="AO19">
        <v>103.767</v>
      </c>
      <c r="AP19">
        <v>96.337000000000003</v>
      </c>
      <c r="AQ19">
        <v>81.421000000000006</v>
      </c>
      <c r="AR19">
        <v>58.634</v>
      </c>
      <c r="AS19">
        <v>31.062999999999999</v>
      </c>
      <c r="AT19">
        <v>4.1550000000000002</v>
      </c>
      <c r="AU19">
        <v>-16.684999999999999</v>
      </c>
      <c r="AV19">
        <v>-28.434999999999999</v>
      </c>
      <c r="AW19">
        <v>-31.393000000000001</v>
      </c>
      <c r="AX19">
        <v>-28.32</v>
      </c>
      <c r="AY19">
        <v>-22.561</v>
      </c>
      <c r="AZ19">
        <v>-16.445</v>
      </c>
      <c r="BA19">
        <v>-10.843999999999999</v>
      </c>
      <c r="BB19">
        <v>-5.8230000000000004</v>
      </c>
      <c r="BC19">
        <v>-1.577</v>
      </c>
      <c r="BD19">
        <v>1.1819999999999999</v>
      </c>
      <c r="BE19">
        <v>1.6160000000000001</v>
      </c>
      <c r="BF19">
        <v>-0.53800000000000003</v>
      </c>
      <c r="BG19">
        <v>-4.6210000000000004</v>
      </c>
      <c r="BH19">
        <v>-9.3019999999999996</v>
      </c>
      <c r="BI19">
        <v>-13.12</v>
      </c>
      <c r="BJ19">
        <v>-14.95</v>
      </c>
      <c r="BK19">
        <v>-14.242000000000001</v>
      </c>
      <c r="BL19">
        <v>-11.151999999999999</v>
      </c>
      <c r="BM19">
        <v>-6.5890000000000004</v>
      </c>
      <c r="BN19">
        <v>-2.0299999999999998</v>
      </c>
      <c r="BO19">
        <v>0.98499999999999999</v>
      </c>
      <c r="BP19">
        <v>1.444</v>
      </c>
      <c r="BQ19">
        <v>-0.77600000000000002</v>
      </c>
      <c r="BR19">
        <v>-5.0019999999999998</v>
      </c>
      <c r="BS19">
        <v>-10.192</v>
      </c>
      <c r="BT19">
        <v>-15.433</v>
      </c>
      <c r="BU19">
        <v>-20.222999999999999</v>
      </c>
      <c r="BV19">
        <v>-24.41</v>
      </c>
      <c r="BW19">
        <v>-27.920999999999999</v>
      </c>
      <c r="BX19">
        <v>-30.516999999999999</v>
      </c>
      <c r="BY19">
        <v>-31.774000000000001</v>
      </c>
      <c r="BZ19">
        <v>-31.277000000000001</v>
      </c>
      <c r="CA19">
        <v>-28.925000000000001</v>
      </c>
      <c r="CB19">
        <v>-25.173999999999999</v>
      </c>
      <c r="CC19">
        <v>-21.047000000000001</v>
      </c>
      <c r="CD19">
        <v>-17.890999999999998</v>
      </c>
      <c r="CE19">
        <v>-17.04</v>
      </c>
      <c r="CF19">
        <v>-19.530999999999999</v>
      </c>
      <c r="CG19">
        <v>-25.899000000000001</v>
      </c>
      <c r="CH19">
        <v>-35.914999999999999</v>
      </c>
      <c r="CI19">
        <v>-48.338000000000001</v>
      </c>
      <c r="CJ19">
        <v>-60.902999999999999</v>
      </c>
      <c r="CK19">
        <v>-70.733000000000004</v>
      </c>
      <c r="CL19">
        <v>-75.120999999999995</v>
      </c>
      <c r="CM19">
        <v>-72.432000000000002</v>
      </c>
      <c r="CN19">
        <v>-62.811</v>
      </c>
      <c r="CO19">
        <v>-48.387999999999998</v>
      </c>
      <c r="CP19">
        <v>-32.682000000000002</v>
      </c>
      <c r="CQ19">
        <v>-19.327000000000002</v>
      </c>
      <c r="CR19">
        <v>-10.632999999999999</v>
      </c>
      <c r="CS19">
        <v>-6.7460000000000004</v>
      </c>
      <c r="CT19">
        <v>-5.8579999999999997</v>
      </c>
      <c r="CU19">
        <v>-5.3239999999999998</v>
      </c>
      <c r="CV19">
        <v>-3.0379999999999998</v>
      </c>
      <c r="CW19">
        <v>1.6659999999999999</v>
      </c>
      <c r="CX19">
        <v>7.93</v>
      </c>
      <c r="CY19">
        <v>13.961</v>
      </c>
      <c r="CZ19">
        <v>17.954999999999998</v>
      </c>
      <c r="DA19">
        <v>19</v>
      </c>
      <c r="DB19">
        <v>17.597000000000001</v>
      </c>
      <c r="DC19">
        <v>15.419</v>
      </c>
      <c r="DD19">
        <v>14.301</v>
      </c>
      <c r="DE19">
        <v>15.021000000000001</v>
      </c>
      <c r="DF19">
        <v>16.707000000000001</v>
      </c>
      <c r="DG19">
        <v>17.361000000000001</v>
      </c>
      <c r="DH19">
        <v>15.227</v>
      </c>
      <c r="DI19">
        <v>10.172000000000001</v>
      </c>
      <c r="DJ19">
        <v>4.2359999999999998</v>
      </c>
      <c r="DK19">
        <v>0.96499999999999997</v>
      </c>
      <c r="DL19">
        <v>3.9279999999999999</v>
      </c>
      <c r="DM19">
        <v>15.193</v>
      </c>
      <c r="DN19">
        <v>34.469000000000001</v>
      </c>
      <c r="DO19">
        <v>59.131</v>
      </c>
      <c r="DP19">
        <v>84.932000000000002</v>
      </c>
      <c r="DQ19">
        <v>107.038</v>
      </c>
      <c r="DR19">
        <v>121.15600000000001</v>
      </c>
      <c r="DS19">
        <v>124.57599999999999</v>
      </c>
      <c r="DT19">
        <v>116.929</v>
      </c>
      <c r="DU19">
        <v>100.324</v>
      </c>
      <c r="DV19">
        <v>78.650999999999996</v>
      </c>
      <c r="DW19">
        <v>56.268999999999998</v>
      </c>
      <c r="DX19">
        <v>36.744999999999997</v>
      </c>
      <c r="DY19">
        <v>22.224</v>
      </c>
      <c r="DZ19">
        <v>13.493</v>
      </c>
      <c r="EA19">
        <v>10.28</v>
      </c>
      <c r="EB19">
        <v>11.428000000000001</v>
      </c>
      <c r="EC19">
        <v>15.026999999999999</v>
      </c>
      <c r="ED19">
        <v>18.724</v>
      </c>
      <c r="EE19">
        <v>20.172000000000001</v>
      </c>
      <c r="EF19">
        <v>17.407</v>
      </c>
      <c r="EG19">
        <v>9.0709999999999997</v>
      </c>
      <c r="EH19">
        <v>-5.266</v>
      </c>
      <c r="EI19">
        <v>-24.628</v>
      </c>
      <c r="EJ19">
        <v>-46.366999999999997</v>
      </c>
      <c r="EK19">
        <v>-66.659000000000006</v>
      </c>
      <c r="EL19">
        <v>-81.846999999999994</v>
      </c>
      <c r="EM19">
        <v>-90.045000000000002</v>
      </c>
      <c r="EN19">
        <v>-92.05</v>
      </c>
      <c r="EO19">
        <v>-90.936000000000007</v>
      </c>
      <c r="EP19">
        <v>-90.397999999999996</v>
      </c>
      <c r="EQ19">
        <v>-92.596000000000004</v>
      </c>
      <c r="ER19">
        <v>-96.682000000000002</v>
      </c>
      <c r="ES19">
        <v>-99</v>
      </c>
      <c r="ET19">
        <v>-95.096999999999994</v>
      </c>
      <c r="EU19">
        <v>-82.486000000000004</v>
      </c>
      <c r="EV19">
        <v>-62.515999999999998</v>
      </c>
      <c r="EW19">
        <v>-40.207999999999998</v>
      </c>
      <c r="EX19">
        <v>-22.106000000000002</v>
      </c>
      <c r="EY19">
        <v>-13.313000000000001</v>
      </c>
      <c r="EZ19">
        <v>-15.185</v>
      </c>
      <c r="FA19">
        <v>-24.748999999999999</v>
      </c>
      <c r="FB19">
        <v>-36.113999999999997</v>
      </c>
      <c r="FC19">
        <v>-43.228999999999999</v>
      </c>
      <c r="FD19">
        <v>-42.692</v>
      </c>
      <c r="FE19">
        <v>-35.225999999999999</v>
      </c>
      <c r="FF19">
        <v>-24.986000000000001</v>
      </c>
      <c r="FG19">
        <v>-16.966000000000001</v>
      </c>
      <c r="FH19">
        <v>-13.973000000000001</v>
      </c>
      <c r="FI19">
        <v>-15.045</v>
      </c>
      <c r="FJ19">
        <v>-16.402999999999999</v>
      </c>
      <c r="FK19">
        <v>-14.182</v>
      </c>
      <c r="FL19">
        <v>-6.9269999999999996</v>
      </c>
      <c r="FM19">
        <v>3.9239999999999999</v>
      </c>
      <c r="FN19">
        <v>15.603999999999999</v>
      </c>
      <c r="FO19">
        <v>26.187999999999999</v>
      </c>
      <c r="FP19">
        <v>35.774000000000001</v>
      </c>
      <c r="FQ19">
        <v>46.204999999999998</v>
      </c>
      <c r="FR19">
        <v>59.811999999999998</v>
      </c>
      <c r="FS19">
        <v>77.822000000000003</v>
      </c>
      <c r="FT19">
        <v>99.015000000000001</v>
      </c>
      <c r="FU19">
        <v>119.325</v>
      </c>
      <c r="FV19">
        <v>133.03800000000001</v>
      </c>
      <c r="FW19">
        <v>135.41399999999999</v>
      </c>
      <c r="FX19">
        <v>125.35299999999999</v>
      </c>
      <c r="FY19">
        <v>106.288</v>
      </c>
      <c r="FZ19">
        <v>84.457999999999998</v>
      </c>
      <c r="GA19">
        <v>65.563999999999993</v>
      </c>
      <c r="GB19">
        <v>51.982999999999997</v>
      </c>
      <c r="GC19">
        <v>42.201000000000001</v>
      </c>
      <c r="GD19">
        <v>32.551000000000002</v>
      </c>
      <c r="GE19">
        <v>19.911999999999999</v>
      </c>
      <c r="GF19">
        <v>3.7290000000000001</v>
      </c>
      <c r="GG19">
        <v>-13.645</v>
      </c>
      <c r="GH19">
        <v>-28.346</v>
      </c>
      <c r="GI19">
        <v>-37.265000000000001</v>
      </c>
      <c r="GJ19">
        <v>-39.93</v>
      </c>
      <c r="GK19">
        <v>-38.872</v>
      </c>
      <c r="GL19">
        <v>-38.171999999999997</v>
      </c>
      <c r="GM19">
        <v>-40.917999999999999</v>
      </c>
      <c r="GN19">
        <v>-47.043999999999997</v>
      </c>
      <c r="GO19">
        <v>-52.956000000000003</v>
      </c>
      <c r="GP19">
        <v>-53.354999999999997</v>
      </c>
      <c r="GQ19">
        <v>-44.277999999999999</v>
      </c>
      <c r="GR19">
        <v>-25.446999999999999</v>
      </c>
      <c r="GS19">
        <v>-0.43099999999999999</v>
      </c>
      <c r="GT19">
        <v>25.306000000000001</v>
      </c>
      <c r="GU19">
        <v>46.966999999999999</v>
      </c>
      <c r="GV19">
        <v>61.933999999999997</v>
      </c>
      <c r="GW19">
        <v>69.733000000000004</v>
      </c>
      <c r="GX19">
        <v>71.122</v>
      </c>
      <c r="GY19">
        <v>67.259</v>
      </c>
      <c r="GZ19">
        <v>59.360999999999997</v>
      </c>
      <c r="HA19">
        <v>48.661999999999999</v>
      </c>
      <c r="HB19">
        <v>36.311999999999998</v>
      </c>
      <c r="HC19">
        <v>23.152000000000001</v>
      </c>
      <c r="HD19">
        <v>9.5920000000000005</v>
      </c>
      <c r="HE19">
        <v>-4.1970000000000001</v>
      </c>
      <c r="HF19">
        <v>-17.876000000000001</v>
      </c>
      <c r="HG19">
        <v>-30.725999999999999</v>
      </c>
      <c r="HH19">
        <v>-41.865000000000002</v>
      </c>
      <c r="HI19">
        <v>-50.768999999999998</v>
      </c>
      <c r="HJ19">
        <v>-57.652000000000001</v>
      </c>
      <c r="HK19">
        <v>-63.329000000000001</v>
      </c>
      <c r="HL19">
        <v>-68.622</v>
      </c>
      <c r="HM19">
        <v>-73.757000000000005</v>
      </c>
      <c r="HN19">
        <v>-78.236999999999995</v>
      </c>
      <c r="HO19">
        <v>-81.313000000000002</v>
      </c>
      <c r="HP19">
        <v>-82.674999999999997</v>
      </c>
      <c r="HQ19">
        <v>-82.828999999999994</v>
      </c>
      <c r="HR19">
        <v>-82.783000000000001</v>
      </c>
      <c r="HS19">
        <v>-83.171999999999997</v>
      </c>
      <c r="HT19">
        <v>-83.43</v>
      </c>
      <c r="HU19">
        <v>-81.718000000000004</v>
      </c>
      <c r="HV19">
        <v>-75.823999999999998</v>
      </c>
      <c r="HW19">
        <v>-64.540999999999997</v>
      </c>
      <c r="HX19">
        <v>-48.612000000000002</v>
      </c>
      <c r="HY19">
        <v>-30.597000000000001</v>
      </c>
      <c r="HZ19">
        <v>-13.678000000000001</v>
      </c>
      <c r="IA19">
        <v>-7.3999999999999996E-2</v>
      </c>
      <c r="IB19">
        <v>9.9920000000000009</v>
      </c>
      <c r="IC19">
        <v>18.177</v>
      </c>
      <c r="ID19">
        <v>26.864999999999998</v>
      </c>
      <c r="IE19">
        <v>37.677999999999997</v>
      </c>
      <c r="IF19">
        <v>50.421999999999997</v>
      </c>
      <c r="IG19">
        <v>62.956000000000003</v>
      </c>
      <c r="IH19">
        <v>72.046000000000006</v>
      </c>
      <c r="II19">
        <v>74.897999999999996</v>
      </c>
      <c r="IJ19">
        <v>70.744</v>
      </c>
      <c r="IK19">
        <v>61.634999999999998</v>
      </c>
      <c r="IL19">
        <v>51.741999999999997</v>
      </c>
      <c r="IM19">
        <v>45.249000000000002</v>
      </c>
      <c r="IN19">
        <v>43.902000000000001</v>
      </c>
      <c r="IO19">
        <v>45.822000000000003</v>
      </c>
      <c r="IP19">
        <v>46.573</v>
      </c>
      <c r="IQ19">
        <v>41.969000000000001</v>
      </c>
      <c r="IR19">
        <v>30.86</v>
      </c>
      <c r="IS19">
        <v>16.106999999999999</v>
      </c>
      <c r="IT19">
        <v>3.3530000000000002</v>
      </c>
      <c r="IU19">
        <v>-1.387</v>
      </c>
      <c r="IV19">
        <v>6.0149999999999997</v>
      </c>
      <c r="IW19">
        <v>26.111999999999998</v>
      </c>
      <c r="IX19">
        <v>54.469000000000001</v>
      </c>
      <c r="IY19">
        <v>80.924999999999997</v>
      </c>
      <c r="IZ19">
        <v>91.233000000000004</v>
      </c>
      <c r="JA19">
        <v>72.671999999999997</v>
      </c>
      <c r="JB19">
        <v>22.437999999999999</v>
      </c>
      <c r="JC19">
        <v>-46.601999999999997</v>
      </c>
      <c r="JD19">
        <v>-109.999</v>
      </c>
      <c r="JE19">
        <v>-147.72399999999999</v>
      </c>
      <c r="JF19">
        <v>-158.84899999999999</v>
      </c>
      <c r="JG19" t="s">
        <v>77</v>
      </c>
    </row>
    <row r="20" spans="1:267" x14ac:dyDescent="0.4">
      <c r="A20">
        <v>19</v>
      </c>
      <c r="B20">
        <v>46</v>
      </c>
      <c r="C20">
        <v>1</v>
      </c>
      <c r="D20">
        <v>512</v>
      </c>
      <c r="E20">
        <v>0</v>
      </c>
      <c r="F20">
        <v>1691417852</v>
      </c>
      <c r="G20">
        <v>1</v>
      </c>
      <c r="H20" t="s">
        <v>27</v>
      </c>
      <c r="K20" t="s">
        <v>78</v>
      </c>
      <c r="M20">
        <v>16000</v>
      </c>
      <c r="N20">
        <v>70</v>
      </c>
      <c r="O20">
        <v>20</v>
      </c>
      <c r="P20">
        <v>90</v>
      </c>
      <c r="Q20">
        <v>5</v>
      </c>
      <c r="R20">
        <v>2</v>
      </c>
      <c r="S20">
        <v>40.96</v>
      </c>
      <c r="T20">
        <v>244</v>
      </c>
      <c r="U20">
        <v>0</v>
      </c>
      <c r="W20">
        <v>77.816999999999993</v>
      </c>
      <c r="X20">
        <v>109.697</v>
      </c>
      <c r="Y20">
        <v>128.47999999999999</v>
      </c>
      <c r="Z20">
        <v>131.55500000000001</v>
      </c>
      <c r="AA20">
        <v>121.331</v>
      </c>
      <c r="AB20">
        <v>103.354</v>
      </c>
      <c r="AC20">
        <v>83.623000000000005</v>
      </c>
      <c r="AD20">
        <v>66.45</v>
      </c>
      <c r="AE20">
        <v>53.57</v>
      </c>
      <c r="AF20">
        <v>44.59</v>
      </c>
      <c r="AG20">
        <v>38.159999999999997</v>
      </c>
      <c r="AH20">
        <v>33.031999999999996</v>
      </c>
      <c r="AI20">
        <v>28.306000000000001</v>
      </c>
      <c r="AJ20">
        <v>22.934999999999999</v>
      </c>
      <c r="AK20">
        <v>15.223000000000001</v>
      </c>
      <c r="AL20">
        <v>3.1619999999999999</v>
      </c>
      <c r="AM20">
        <v>-14.332000000000001</v>
      </c>
      <c r="AN20">
        <v>-36.131</v>
      </c>
      <c r="AO20">
        <v>-58.665999999999997</v>
      </c>
      <c r="AP20">
        <v>-77.096000000000004</v>
      </c>
      <c r="AQ20">
        <v>-87.332999999999998</v>
      </c>
      <c r="AR20">
        <v>-87.834999999999994</v>
      </c>
      <c r="AS20">
        <v>-80.322999999999993</v>
      </c>
      <c r="AT20">
        <v>-69.082999999999998</v>
      </c>
      <c r="AU20">
        <v>-59.146000000000001</v>
      </c>
      <c r="AV20">
        <v>-54.093000000000004</v>
      </c>
      <c r="AW20">
        <v>-54.497</v>
      </c>
      <c r="AX20">
        <v>-57.755000000000003</v>
      </c>
      <c r="AY20">
        <v>-59.503999999999998</v>
      </c>
      <c r="AZ20">
        <v>-55.98</v>
      </c>
      <c r="BA20">
        <v>-46.121000000000002</v>
      </c>
      <c r="BB20">
        <v>-32.177</v>
      </c>
      <c r="BC20">
        <v>-18.312000000000001</v>
      </c>
      <c r="BD20">
        <v>-8.0090000000000003</v>
      </c>
      <c r="BE20">
        <v>-2.0150000000000001</v>
      </c>
      <c r="BF20">
        <v>1.575</v>
      </c>
      <c r="BG20">
        <v>5.1379999999999999</v>
      </c>
      <c r="BH20">
        <v>9.0820000000000007</v>
      </c>
      <c r="BI20">
        <v>11.316000000000001</v>
      </c>
      <c r="BJ20">
        <v>9.141</v>
      </c>
      <c r="BK20">
        <v>1.9139999999999999</v>
      </c>
      <c r="BL20">
        <v>-7.8739999999999997</v>
      </c>
      <c r="BM20">
        <v>-15.994999999999999</v>
      </c>
      <c r="BN20">
        <v>-19.221</v>
      </c>
      <c r="BO20">
        <v>-17.324000000000002</v>
      </c>
      <c r="BP20">
        <v>-12.991</v>
      </c>
      <c r="BQ20">
        <v>-9.8689999999999998</v>
      </c>
      <c r="BR20">
        <v>-10.074</v>
      </c>
      <c r="BS20">
        <v>-12.68</v>
      </c>
      <c r="BT20">
        <v>-14.087999999999999</v>
      </c>
      <c r="BU20">
        <v>-10.199</v>
      </c>
      <c r="BV20">
        <v>0.80300000000000005</v>
      </c>
      <c r="BW20">
        <v>16.823</v>
      </c>
      <c r="BX20">
        <v>32.695999999999998</v>
      </c>
      <c r="BY20">
        <v>43.2</v>
      </c>
      <c r="BZ20">
        <v>46.317999999999998</v>
      </c>
      <c r="CA20">
        <v>44.548999999999999</v>
      </c>
      <c r="CB20">
        <v>43.378</v>
      </c>
      <c r="CC20">
        <v>47.911000000000001</v>
      </c>
      <c r="CD20">
        <v>59.732999999999997</v>
      </c>
      <c r="CE20">
        <v>75.739999999999995</v>
      </c>
      <c r="CF20">
        <v>89.509</v>
      </c>
      <c r="CG20">
        <v>94.456999999999994</v>
      </c>
      <c r="CH20">
        <v>87.216999999999999</v>
      </c>
      <c r="CI20">
        <v>69.516999999999996</v>
      </c>
      <c r="CJ20">
        <v>47.521000000000001</v>
      </c>
      <c r="CK20">
        <v>28.901</v>
      </c>
      <c r="CL20">
        <v>19.175999999999998</v>
      </c>
      <c r="CM20">
        <v>19.297999999999998</v>
      </c>
      <c r="CN20">
        <v>25.7</v>
      </c>
      <c r="CO20">
        <v>32.5</v>
      </c>
      <c r="CP20">
        <v>34.405000000000001</v>
      </c>
      <c r="CQ20">
        <v>28.753</v>
      </c>
      <c r="CR20">
        <v>15.972</v>
      </c>
      <c r="CS20">
        <v>-1.258</v>
      </c>
      <c r="CT20">
        <v>-19.460999999999999</v>
      </c>
      <c r="CU20">
        <v>-35.747999999999998</v>
      </c>
      <c r="CV20">
        <v>-48.732999999999997</v>
      </c>
      <c r="CW20">
        <v>-58.689</v>
      </c>
      <c r="CX20">
        <v>-66.88</v>
      </c>
      <c r="CY20">
        <v>-74.403000000000006</v>
      </c>
      <c r="CZ20">
        <v>-81.257000000000005</v>
      </c>
      <c r="DA20">
        <v>-86.22</v>
      </c>
      <c r="DB20">
        <v>-87.593999999999994</v>
      </c>
      <c r="DC20">
        <v>-84.311999999999998</v>
      </c>
      <c r="DD20">
        <v>-76.778999999999996</v>
      </c>
      <c r="DE20">
        <v>-66.888999999999996</v>
      </c>
      <c r="DF20">
        <v>-57.106999999999999</v>
      </c>
      <c r="DG20">
        <v>-49.084000000000003</v>
      </c>
      <c r="DH20">
        <v>-42.776000000000003</v>
      </c>
      <c r="DI20">
        <v>-36.728000000000002</v>
      </c>
      <c r="DJ20">
        <v>-29.306000000000001</v>
      </c>
      <c r="DK20">
        <v>-19.934000000000001</v>
      </c>
      <c r="DL20">
        <v>-9.5310000000000006</v>
      </c>
      <c r="DM20">
        <v>3.0000000000000001E-3</v>
      </c>
      <c r="DN20">
        <v>6.8550000000000004</v>
      </c>
      <c r="DO20">
        <v>10.361000000000001</v>
      </c>
      <c r="DP20">
        <v>11.537000000000001</v>
      </c>
      <c r="DQ20">
        <v>12.688000000000001</v>
      </c>
      <c r="DR20">
        <v>16.157</v>
      </c>
      <c r="DS20">
        <v>22.876999999999999</v>
      </c>
      <c r="DT20">
        <v>31.666</v>
      </c>
      <c r="DU20">
        <v>39.832000000000001</v>
      </c>
      <c r="DV20">
        <v>44.762</v>
      </c>
      <c r="DW20">
        <v>45.45</v>
      </c>
      <c r="DX20">
        <v>42.892000000000003</v>
      </c>
      <c r="DY20">
        <v>39.164000000000001</v>
      </c>
      <c r="DZ20">
        <v>36.009</v>
      </c>
      <c r="EA20">
        <v>34.061</v>
      </c>
      <c r="EB20">
        <v>33.097000000000001</v>
      </c>
      <c r="EC20">
        <v>32.759</v>
      </c>
      <c r="ED20">
        <v>33.003</v>
      </c>
      <c r="EE20">
        <v>33.970999999999997</v>
      </c>
      <c r="EF20">
        <v>35.555999999999997</v>
      </c>
      <c r="EG20">
        <v>37.067999999999998</v>
      </c>
      <c r="EH20">
        <v>37.33</v>
      </c>
      <c r="EI20">
        <v>35.234000000000002</v>
      </c>
      <c r="EJ20">
        <v>30.428000000000001</v>
      </c>
      <c r="EK20">
        <v>23.581</v>
      </c>
      <c r="EL20">
        <v>15.956</v>
      </c>
      <c r="EM20">
        <v>8.6039999999999992</v>
      </c>
      <c r="EN20">
        <v>1.835</v>
      </c>
      <c r="EO20">
        <v>-4.6859999999999999</v>
      </c>
      <c r="EP20">
        <v>-11.407</v>
      </c>
      <c r="EQ20">
        <v>-18.395</v>
      </c>
      <c r="ER20">
        <v>-25.256</v>
      </c>
      <c r="ES20">
        <v>-31.427</v>
      </c>
      <c r="ET20">
        <v>-36.549999999999997</v>
      </c>
      <c r="EU20">
        <v>-40.548999999999999</v>
      </c>
      <c r="EV20">
        <v>-43.317999999999998</v>
      </c>
      <c r="EW20">
        <v>-44.354999999999997</v>
      </c>
      <c r="EX20">
        <v>-42.808999999999997</v>
      </c>
      <c r="EY20">
        <v>-38.066000000000003</v>
      </c>
      <c r="EZ20">
        <v>-30.452999999999999</v>
      </c>
      <c r="FA20">
        <v>-21.373999999999999</v>
      </c>
      <c r="FB20">
        <v>-12.609</v>
      </c>
      <c r="FC20">
        <v>-5.2679999999999998</v>
      </c>
      <c r="FD20">
        <v>0.68600000000000005</v>
      </c>
      <c r="FE20">
        <v>5.8719999999999999</v>
      </c>
      <c r="FF20">
        <v>10.347</v>
      </c>
      <c r="FG20">
        <v>12.914999999999999</v>
      </c>
      <c r="FH20">
        <v>11.566000000000001</v>
      </c>
      <c r="FI20">
        <v>4.8550000000000004</v>
      </c>
      <c r="FJ20">
        <v>-6.6609999999999996</v>
      </c>
      <c r="FK20">
        <v>-19.952999999999999</v>
      </c>
      <c r="FL20">
        <v>-30.492999999999999</v>
      </c>
      <c r="FM20">
        <v>-34.319000000000003</v>
      </c>
      <c r="FN20">
        <v>-30.053000000000001</v>
      </c>
      <c r="FO20">
        <v>-19.608000000000001</v>
      </c>
      <c r="FP20">
        <v>-7.0839999999999996</v>
      </c>
      <c r="FQ20">
        <v>3.4420000000000002</v>
      </c>
      <c r="FR20">
        <v>9.7970000000000006</v>
      </c>
      <c r="FS20">
        <v>12.189</v>
      </c>
      <c r="FT20">
        <v>12.294</v>
      </c>
      <c r="FU20">
        <v>11.827</v>
      </c>
      <c r="FV20">
        <v>11.593</v>
      </c>
      <c r="FW20">
        <v>11.464</v>
      </c>
      <c r="FX20">
        <v>10.991</v>
      </c>
      <c r="FY20">
        <v>10.032</v>
      </c>
      <c r="FZ20">
        <v>8.8979999999999997</v>
      </c>
      <c r="GA20">
        <v>8.0440000000000005</v>
      </c>
      <c r="GB20">
        <v>7.673</v>
      </c>
      <c r="GC20">
        <v>7.62</v>
      </c>
      <c r="GD20">
        <v>7.5250000000000004</v>
      </c>
      <c r="GE20">
        <v>7.0759999999999996</v>
      </c>
      <c r="GF20">
        <v>6.1349999999999998</v>
      </c>
      <c r="GG20">
        <v>4.798</v>
      </c>
      <c r="GH20">
        <v>3.5179999999999998</v>
      </c>
      <c r="GI20">
        <v>3.214</v>
      </c>
      <c r="GJ20">
        <v>5.0839999999999996</v>
      </c>
      <c r="GK20">
        <v>9.9109999999999996</v>
      </c>
      <c r="GL20">
        <v>17.14</v>
      </c>
      <c r="GM20">
        <v>24.437999999999999</v>
      </c>
      <c r="GN20">
        <v>28.399000000000001</v>
      </c>
      <c r="GO20">
        <v>26.314</v>
      </c>
      <c r="GP20">
        <v>18.013000000000002</v>
      </c>
      <c r="GQ20">
        <v>6.4349999999999996</v>
      </c>
      <c r="GR20">
        <v>-3.706</v>
      </c>
      <c r="GS20">
        <v>-8.4979999999999993</v>
      </c>
      <c r="GT20">
        <v>-7.0359999999999996</v>
      </c>
      <c r="GU20">
        <v>-1.851</v>
      </c>
      <c r="GV20">
        <v>2.714</v>
      </c>
      <c r="GW20">
        <v>3.14</v>
      </c>
      <c r="GX20">
        <v>-1.171</v>
      </c>
      <c r="GY20">
        <v>-7.5739999999999998</v>
      </c>
      <c r="GZ20">
        <v>-11.78</v>
      </c>
      <c r="HA20">
        <v>-10.375</v>
      </c>
      <c r="HB20">
        <v>-2.6539999999999999</v>
      </c>
      <c r="HC20">
        <v>9.3360000000000003</v>
      </c>
      <c r="HD20">
        <v>22.31</v>
      </c>
      <c r="HE20">
        <v>33.463999999999999</v>
      </c>
      <c r="HF20">
        <v>41.116999999999997</v>
      </c>
      <c r="HG20">
        <v>44.243000000000002</v>
      </c>
      <c r="HH20">
        <v>41.941000000000003</v>
      </c>
      <c r="HI20">
        <v>33.779000000000003</v>
      </c>
      <c r="HJ20">
        <v>20.773</v>
      </c>
      <c r="HK20">
        <v>5.8410000000000002</v>
      </c>
      <c r="HL20">
        <v>-7.0750000000000002</v>
      </c>
      <c r="HM20">
        <v>-14.833</v>
      </c>
      <c r="HN20">
        <v>-16.625</v>
      </c>
      <c r="HO20">
        <v>-14.218999999999999</v>
      </c>
      <c r="HP20">
        <v>-10.917</v>
      </c>
      <c r="HQ20">
        <v>-9.9139999999999997</v>
      </c>
      <c r="HR20">
        <v>-12.88</v>
      </c>
      <c r="HS20">
        <v>-19.317</v>
      </c>
      <c r="HT20">
        <v>-26.997</v>
      </c>
      <c r="HU20">
        <v>-33.414999999999999</v>
      </c>
      <c r="HV20">
        <v>-37.529000000000003</v>
      </c>
      <c r="HW20">
        <v>-40.591000000000001</v>
      </c>
      <c r="HX20">
        <v>-45.267000000000003</v>
      </c>
      <c r="HY20">
        <v>-53.445</v>
      </c>
      <c r="HZ20">
        <v>-64.277000000000001</v>
      </c>
      <c r="IA20">
        <v>-73.983999999999995</v>
      </c>
      <c r="IB20">
        <v>-77.706999999999994</v>
      </c>
      <c r="IC20">
        <v>-72.262</v>
      </c>
      <c r="ID20">
        <v>-58.079000000000001</v>
      </c>
      <c r="IE20">
        <v>-39.127000000000002</v>
      </c>
      <c r="IF20">
        <v>-20.94</v>
      </c>
      <c r="IG20">
        <v>-7.9260000000000002</v>
      </c>
      <c r="IH20">
        <v>-1.4970000000000001</v>
      </c>
      <c r="II20">
        <v>3.2000000000000001E-2</v>
      </c>
      <c r="IJ20">
        <v>1.7999999999999999E-2</v>
      </c>
      <c r="IK20">
        <v>1.54</v>
      </c>
      <c r="IL20">
        <v>6.0289999999999999</v>
      </c>
      <c r="IM20">
        <v>13.003</v>
      </c>
      <c r="IN20">
        <v>20.821999999999999</v>
      </c>
      <c r="IO20">
        <v>27.861000000000001</v>
      </c>
      <c r="IP20">
        <v>33.304000000000002</v>
      </c>
      <c r="IQ20">
        <v>37.081000000000003</v>
      </c>
      <c r="IR20">
        <v>39.293999999999997</v>
      </c>
      <c r="IS20">
        <v>40.155000000000001</v>
      </c>
      <c r="IT20">
        <v>41.075000000000003</v>
      </c>
      <c r="IU20">
        <v>46.04</v>
      </c>
      <c r="IV20">
        <v>61.146999999999998</v>
      </c>
      <c r="IW20">
        <v>90.754000000000005</v>
      </c>
      <c r="IX20">
        <v>131.51499999999999</v>
      </c>
      <c r="IY20">
        <v>168.499</v>
      </c>
      <c r="IZ20">
        <v>178.14500000000001</v>
      </c>
      <c r="JA20">
        <v>139.613</v>
      </c>
      <c r="JB20">
        <v>50.055</v>
      </c>
      <c r="JC20">
        <v>-66.441999999999993</v>
      </c>
      <c r="JD20">
        <v>-167.41800000000001</v>
      </c>
      <c r="JE20">
        <v>-219.869</v>
      </c>
      <c r="JF20">
        <v>-224.27799999999999</v>
      </c>
      <c r="JG20" t="s">
        <v>77</v>
      </c>
    </row>
    <row r="21" spans="1:267" x14ac:dyDescent="0.4">
      <c r="A21">
        <v>20</v>
      </c>
      <c r="B21">
        <v>47</v>
      </c>
      <c r="C21">
        <v>1</v>
      </c>
      <c r="D21">
        <v>512</v>
      </c>
      <c r="E21">
        <v>0</v>
      </c>
      <c r="F21">
        <v>1691417877</v>
      </c>
      <c r="G21">
        <v>1</v>
      </c>
      <c r="H21" t="s">
        <v>27</v>
      </c>
      <c r="K21" t="s">
        <v>78</v>
      </c>
      <c r="M21">
        <v>16000</v>
      </c>
      <c r="N21">
        <v>60</v>
      </c>
      <c r="O21">
        <v>30</v>
      </c>
      <c r="P21">
        <v>90</v>
      </c>
      <c r="Q21">
        <v>5</v>
      </c>
      <c r="R21">
        <v>2</v>
      </c>
      <c r="S21">
        <v>40.96</v>
      </c>
      <c r="T21">
        <v>244</v>
      </c>
      <c r="U21">
        <v>0</v>
      </c>
      <c r="W21">
        <v>-109.878</v>
      </c>
      <c r="X21">
        <v>-174.93</v>
      </c>
      <c r="Y21">
        <v>-211.01900000000001</v>
      </c>
      <c r="Z21">
        <v>-215.702</v>
      </c>
      <c r="AA21">
        <v>-197.142</v>
      </c>
      <c r="AB21">
        <v>-167.89699999999999</v>
      </c>
      <c r="AC21">
        <v>-138.387</v>
      </c>
      <c r="AD21">
        <v>-113.623</v>
      </c>
      <c r="AE21">
        <v>-93.813999999999993</v>
      </c>
      <c r="AF21">
        <v>-77.088999999999999</v>
      </c>
      <c r="AG21">
        <v>-61.923000000000002</v>
      </c>
      <c r="AH21">
        <v>-47.914999999999999</v>
      </c>
      <c r="AI21">
        <v>-35.197000000000003</v>
      </c>
      <c r="AJ21">
        <v>-23.673999999999999</v>
      </c>
      <c r="AK21">
        <v>-13.077</v>
      </c>
      <c r="AL21">
        <v>-3.6379999999999999</v>
      </c>
      <c r="AM21">
        <v>3.5579999999999998</v>
      </c>
      <c r="AN21">
        <v>7.1890000000000001</v>
      </c>
      <c r="AO21">
        <v>6.8289999999999997</v>
      </c>
      <c r="AP21">
        <v>3.516</v>
      </c>
      <c r="AQ21">
        <v>-0.81899999999999995</v>
      </c>
      <c r="AR21">
        <v>-4.5220000000000002</v>
      </c>
      <c r="AS21">
        <v>-7.0090000000000003</v>
      </c>
      <c r="AT21">
        <v>-8.7460000000000004</v>
      </c>
      <c r="AU21">
        <v>-10.718999999999999</v>
      </c>
      <c r="AV21">
        <v>-13.766</v>
      </c>
      <c r="AW21">
        <v>-17.965</v>
      </c>
      <c r="AX21">
        <v>-22.318000000000001</v>
      </c>
      <c r="AY21">
        <v>-25.119</v>
      </c>
      <c r="AZ21">
        <v>-25.03</v>
      </c>
      <c r="BA21">
        <v>-22.096</v>
      </c>
      <c r="BB21">
        <v>-17.765000000000001</v>
      </c>
      <c r="BC21">
        <v>-13.73</v>
      </c>
      <c r="BD21">
        <v>-10.444000000000001</v>
      </c>
      <c r="BE21">
        <v>-6.58</v>
      </c>
      <c r="BF21">
        <v>2.5999999999999999E-2</v>
      </c>
      <c r="BG21">
        <v>10.563000000000001</v>
      </c>
      <c r="BH21">
        <v>23.951000000000001</v>
      </c>
      <c r="BI21">
        <v>37.142000000000003</v>
      </c>
      <c r="BJ21">
        <v>46.881999999999998</v>
      </c>
      <c r="BK21">
        <v>51.692</v>
      </c>
      <c r="BL21">
        <v>52.673999999999999</v>
      </c>
      <c r="BM21">
        <v>52.637</v>
      </c>
      <c r="BN21">
        <v>54.152000000000001</v>
      </c>
      <c r="BO21">
        <v>57.895000000000003</v>
      </c>
      <c r="BP21">
        <v>62.317999999999998</v>
      </c>
      <c r="BQ21">
        <v>64.835999999999999</v>
      </c>
      <c r="BR21">
        <v>63.713000000000001</v>
      </c>
      <c r="BS21">
        <v>59.38</v>
      </c>
      <c r="BT21">
        <v>54.283999999999999</v>
      </c>
      <c r="BU21">
        <v>51.216999999999999</v>
      </c>
      <c r="BV21">
        <v>51.189</v>
      </c>
      <c r="BW21">
        <v>52.341000000000001</v>
      </c>
      <c r="BX21">
        <v>50.863</v>
      </c>
      <c r="BY21">
        <v>43.46</v>
      </c>
      <c r="BZ21">
        <v>29.716999999999999</v>
      </c>
      <c r="CA21">
        <v>12.622</v>
      </c>
      <c r="CB21">
        <v>-3.1179999999999999</v>
      </c>
      <c r="CC21">
        <v>-13.664999999999999</v>
      </c>
      <c r="CD21">
        <v>-17.684000000000001</v>
      </c>
      <c r="CE21">
        <v>-16.202999999999999</v>
      </c>
      <c r="CF21">
        <v>-11.412000000000001</v>
      </c>
      <c r="CG21">
        <v>-5.6920000000000002</v>
      </c>
      <c r="CH21">
        <v>-1.3959999999999999</v>
      </c>
      <c r="CI21">
        <v>-0.84399999999999997</v>
      </c>
      <c r="CJ21">
        <v>-5.7080000000000002</v>
      </c>
      <c r="CK21">
        <v>-15.824</v>
      </c>
      <c r="CL21">
        <v>-28.457000000000001</v>
      </c>
      <c r="CM21">
        <v>-39.143999999999998</v>
      </c>
      <c r="CN21">
        <v>-44.088999999999999</v>
      </c>
      <c r="CO21">
        <v>-42.664999999999999</v>
      </c>
      <c r="CP21">
        <v>-38.186999999999998</v>
      </c>
      <c r="CQ21">
        <v>-36.156999999999996</v>
      </c>
      <c r="CR21">
        <v>-40.896000000000001</v>
      </c>
      <c r="CS21">
        <v>-52.648000000000003</v>
      </c>
      <c r="CT21">
        <v>-67.013999999999996</v>
      </c>
      <c r="CU21">
        <v>-77.111999999999995</v>
      </c>
      <c r="CV21">
        <v>-77.183000000000007</v>
      </c>
      <c r="CW21">
        <v>-65.451999999999998</v>
      </c>
      <c r="CX21">
        <v>-44.643999999999998</v>
      </c>
      <c r="CY21">
        <v>-20.085999999999999</v>
      </c>
      <c r="CZ21">
        <v>3.1579999999999999</v>
      </c>
      <c r="DA21">
        <v>22.294</v>
      </c>
      <c r="DB21">
        <v>37.005000000000003</v>
      </c>
      <c r="DC21">
        <v>48.27</v>
      </c>
      <c r="DD21">
        <v>56.99</v>
      </c>
      <c r="DE21">
        <v>63.384</v>
      </c>
      <c r="DF21">
        <v>67.316999999999993</v>
      </c>
      <c r="DG21">
        <v>69.004000000000005</v>
      </c>
      <c r="DH21">
        <v>69.402000000000001</v>
      </c>
      <c r="DI21">
        <v>69.930000000000007</v>
      </c>
      <c r="DJ21">
        <v>71.698999999999998</v>
      </c>
      <c r="DK21">
        <v>74.695999999999998</v>
      </c>
      <c r="DL21">
        <v>77.402000000000001</v>
      </c>
      <c r="DM21">
        <v>77.069000000000003</v>
      </c>
      <c r="DN21">
        <v>70.7</v>
      </c>
      <c r="DO21">
        <v>56.442999999999998</v>
      </c>
      <c r="DP21">
        <v>34.713000000000001</v>
      </c>
      <c r="DQ21">
        <v>8.2210000000000001</v>
      </c>
      <c r="DR21">
        <v>-19.27</v>
      </c>
      <c r="DS21">
        <v>-44.628999999999998</v>
      </c>
      <c r="DT21">
        <v>-66.224999999999994</v>
      </c>
      <c r="DU21">
        <v>-83.442999999999998</v>
      </c>
      <c r="DV21">
        <v>-95.572999999999993</v>
      </c>
      <c r="DW21">
        <v>-101.396</v>
      </c>
      <c r="DX21">
        <v>-100.06</v>
      </c>
      <c r="DY21">
        <v>-92.537999999999997</v>
      </c>
      <c r="DZ21">
        <v>-82.263000000000005</v>
      </c>
      <c r="EA21">
        <v>-74.036000000000001</v>
      </c>
      <c r="EB21">
        <v>-71.638000000000005</v>
      </c>
      <c r="EC21">
        <v>-75.483000000000004</v>
      </c>
      <c r="ED21">
        <v>-81.741</v>
      </c>
      <c r="EE21">
        <v>-83.569000000000003</v>
      </c>
      <c r="EF21">
        <v>-74.113</v>
      </c>
      <c r="EG21">
        <v>-50.054000000000002</v>
      </c>
      <c r="EH21">
        <v>-14.007</v>
      </c>
      <c r="EI21">
        <v>25.696000000000002</v>
      </c>
      <c r="EJ21">
        <v>58.164000000000001</v>
      </c>
      <c r="EK21">
        <v>74.683000000000007</v>
      </c>
      <c r="EL21">
        <v>72.576999999999998</v>
      </c>
      <c r="EM21">
        <v>56.110999999999997</v>
      </c>
      <c r="EN21">
        <v>34.110999999999997</v>
      </c>
      <c r="EO21">
        <v>15.77</v>
      </c>
      <c r="EP21">
        <v>6.9169999999999998</v>
      </c>
      <c r="EQ21">
        <v>8.33</v>
      </c>
      <c r="ER21">
        <v>16.306999999999999</v>
      </c>
      <c r="ES21">
        <v>24.684999999999999</v>
      </c>
      <c r="ET21">
        <v>27.303000000000001</v>
      </c>
      <c r="EU21">
        <v>20.315999999999999</v>
      </c>
      <c r="EV21">
        <v>3.8410000000000002</v>
      </c>
      <c r="EW21">
        <v>-17.702999999999999</v>
      </c>
      <c r="EX21">
        <v>-37.11</v>
      </c>
      <c r="EY21">
        <v>-47.476999999999997</v>
      </c>
      <c r="EZ21">
        <v>-45.444000000000003</v>
      </c>
      <c r="FA21">
        <v>-32.743000000000002</v>
      </c>
      <c r="FB21">
        <v>-15.013999999999999</v>
      </c>
      <c r="FC21">
        <v>1.462</v>
      </c>
      <c r="FD21">
        <v>13.006</v>
      </c>
      <c r="FE21">
        <v>19.736999999999998</v>
      </c>
      <c r="FF21">
        <v>24.254999999999999</v>
      </c>
      <c r="FG21">
        <v>29.17</v>
      </c>
      <c r="FH21">
        <v>35.366999999999997</v>
      </c>
      <c r="FI21">
        <v>41.975999999999999</v>
      </c>
      <c r="FJ21">
        <v>47.581000000000003</v>
      </c>
      <c r="FK21">
        <v>51.524000000000001</v>
      </c>
      <c r="FL21">
        <v>54.4</v>
      </c>
      <c r="FM21">
        <v>57.491999999999997</v>
      </c>
      <c r="FN21">
        <v>61.509</v>
      </c>
      <c r="FO21">
        <v>65.491</v>
      </c>
      <c r="FP21">
        <v>66.751999999999995</v>
      </c>
      <c r="FQ21">
        <v>62.134999999999998</v>
      </c>
      <c r="FR21">
        <v>49.884999999999998</v>
      </c>
      <c r="FS21">
        <v>30.984000000000002</v>
      </c>
      <c r="FT21">
        <v>9.1539999999999999</v>
      </c>
      <c r="FU21">
        <v>-10.426</v>
      </c>
      <c r="FV21">
        <v>-23.012</v>
      </c>
      <c r="FW21">
        <v>-26.05</v>
      </c>
      <c r="FX21">
        <v>-20.186</v>
      </c>
      <c r="FY21">
        <v>-9.1660000000000004</v>
      </c>
      <c r="FZ21">
        <v>1.5209999999999999</v>
      </c>
      <c r="GA21">
        <v>6.899</v>
      </c>
      <c r="GB21">
        <v>4.7</v>
      </c>
      <c r="GC21">
        <v>-3.714</v>
      </c>
      <c r="GD21">
        <v>-14.362</v>
      </c>
      <c r="GE21">
        <v>-22.931000000000001</v>
      </c>
      <c r="GF21">
        <v>-26.823</v>
      </c>
      <c r="GG21">
        <v>-25.856000000000002</v>
      </c>
      <c r="GH21">
        <v>-21.594999999999999</v>
      </c>
      <c r="GI21">
        <v>-16.155000000000001</v>
      </c>
      <c r="GJ21">
        <v>-11.263</v>
      </c>
      <c r="GK21">
        <v>-7.9459999999999997</v>
      </c>
      <c r="GL21">
        <v>-6.7619999999999996</v>
      </c>
      <c r="GM21">
        <v>-8.1419999999999995</v>
      </c>
      <c r="GN21">
        <v>-12.407</v>
      </c>
      <c r="GO21">
        <v>-19.396999999999998</v>
      </c>
      <c r="GP21">
        <v>-28.152999999999999</v>
      </c>
      <c r="GQ21">
        <v>-37.058</v>
      </c>
      <c r="GR21">
        <v>-44.430999999999997</v>
      </c>
      <c r="GS21">
        <v>-49.085999999999999</v>
      </c>
      <c r="GT21">
        <v>-50.445999999999998</v>
      </c>
      <c r="GU21">
        <v>-48.195999999999998</v>
      </c>
      <c r="GV21">
        <v>-41.917999999999999</v>
      </c>
      <c r="GW21">
        <v>-31.21</v>
      </c>
      <c r="GX21">
        <v>-16.335000000000001</v>
      </c>
      <c r="GY21">
        <v>1.0880000000000001</v>
      </c>
      <c r="GZ21">
        <v>18.016999999999999</v>
      </c>
      <c r="HA21">
        <v>30.853000000000002</v>
      </c>
      <c r="HB21">
        <v>36.920999999999999</v>
      </c>
      <c r="HC21">
        <v>35.786000000000001</v>
      </c>
      <c r="HD21">
        <v>29.7</v>
      </c>
      <c r="HE21">
        <v>22.827000000000002</v>
      </c>
      <c r="HF21">
        <v>19.369</v>
      </c>
      <c r="HG21">
        <v>21.308</v>
      </c>
      <c r="HH21">
        <v>26.998000000000001</v>
      </c>
      <c r="HI21">
        <v>31.745000000000001</v>
      </c>
      <c r="HJ21">
        <v>30.481999999999999</v>
      </c>
      <c r="HK21">
        <v>21.036999999999999</v>
      </c>
      <c r="HL21">
        <v>5.766</v>
      </c>
      <c r="HM21">
        <v>-9.7940000000000005</v>
      </c>
      <c r="HN21">
        <v>-20.456</v>
      </c>
      <c r="HO21">
        <v>-24.605</v>
      </c>
      <c r="HP21">
        <v>-24.847000000000001</v>
      </c>
      <c r="HQ21">
        <v>-25.719000000000001</v>
      </c>
      <c r="HR21">
        <v>-30.314</v>
      </c>
      <c r="HS21">
        <v>-38.229999999999997</v>
      </c>
      <c r="HT21">
        <v>-46.075000000000003</v>
      </c>
      <c r="HU21">
        <v>-49.848999999999997</v>
      </c>
      <c r="HV21">
        <v>-47.438000000000002</v>
      </c>
      <c r="HW21">
        <v>-39.645000000000003</v>
      </c>
      <c r="HX21">
        <v>-29.341999999999999</v>
      </c>
      <c r="HY21">
        <v>-19.507000000000001</v>
      </c>
      <c r="HZ21">
        <v>-11.452</v>
      </c>
      <c r="IA21">
        <v>-4.3099999999999996</v>
      </c>
      <c r="IB21">
        <v>4.0229999999999997</v>
      </c>
      <c r="IC21">
        <v>15.180999999999999</v>
      </c>
      <c r="ID21">
        <v>28.943999999999999</v>
      </c>
      <c r="IE21">
        <v>43.033999999999999</v>
      </c>
      <c r="IF21">
        <v>54.167000000000002</v>
      </c>
      <c r="IG21">
        <v>59.741</v>
      </c>
      <c r="IH21">
        <v>59.076000000000001</v>
      </c>
      <c r="II21">
        <v>53.42</v>
      </c>
      <c r="IJ21">
        <v>44.817999999999998</v>
      </c>
      <c r="IK21">
        <v>34.838000000000001</v>
      </c>
      <c r="IL21">
        <v>24.24</v>
      </c>
      <c r="IM21">
        <v>13.753</v>
      </c>
      <c r="IN21">
        <v>4.9370000000000003</v>
      </c>
      <c r="IO21">
        <v>-5.8999999999999997E-2</v>
      </c>
      <c r="IP21">
        <v>3.2000000000000001E-2</v>
      </c>
      <c r="IQ21">
        <v>4.1399999999999997</v>
      </c>
      <c r="IR21">
        <v>8.8480000000000008</v>
      </c>
      <c r="IS21">
        <v>10.081</v>
      </c>
      <c r="IT21">
        <v>5.3550000000000004</v>
      </c>
      <c r="IU21">
        <v>-4.899</v>
      </c>
      <c r="IV21">
        <v>-17.606999999999999</v>
      </c>
      <c r="IW21">
        <v>-28.513000000000002</v>
      </c>
      <c r="IX21">
        <v>-33.960999999999999</v>
      </c>
      <c r="IY21">
        <v>-32.295999999999999</v>
      </c>
      <c r="IZ21">
        <v>-24.527999999999999</v>
      </c>
      <c r="JA21">
        <v>-13.98</v>
      </c>
      <c r="JB21">
        <v>-4.7720000000000002</v>
      </c>
      <c r="JC21">
        <v>0.376</v>
      </c>
      <c r="JD21">
        <v>1.6140000000000001</v>
      </c>
      <c r="JE21">
        <v>1.2110000000000001</v>
      </c>
      <c r="JF21">
        <v>1.143</v>
      </c>
      <c r="JG21" t="s">
        <v>77</v>
      </c>
    </row>
    <row r="22" spans="1:267" x14ac:dyDescent="0.4">
      <c r="A22">
        <v>21</v>
      </c>
      <c r="B22">
        <v>48</v>
      </c>
      <c r="C22">
        <v>1</v>
      </c>
      <c r="D22">
        <v>512</v>
      </c>
      <c r="E22">
        <v>0</v>
      </c>
      <c r="F22">
        <v>1691417901</v>
      </c>
      <c r="G22">
        <v>1</v>
      </c>
      <c r="H22" t="s">
        <v>27</v>
      </c>
      <c r="K22" t="s">
        <v>78</v>
      </c>
      <c r="M22">
        <v>16000</v>
      </c>
      <c r="N22">
        <v>50</v>
      </c>
      <c r="O22">
        <v>40</v>
      </c>
      <c r="P22">
        <v>90</v>
      </c>
      <c r="Q22">
        <v>5</v>
      </c>
      <c r="R22">
        <v>2</v>
      </c>
      <c r="S22">
        <v>40.96</v>
      </c>
      <c r="T22">
        <v>244</v>
      </c>
      <c r="U22">
        <v>0</v>
      </c>
      <c r="W22">
        <v>-32.765000000000001</v>
      </c>
      <c r="X22">
        <v>-39.863999999999997</v>
      </c>
      <c r="Y22">
        <v>-43.825000000000003</v>
      </c>
      <c r="Z22">
        <v>-44.277000000000001</v>
      </c>
      <c r="AA22">
        <v>-41.564</v>
      </c>
      <c r="AB22">
        <v>-36.372</v>
      </c>
      <c r="AC22">
        <v>-29.54</v>
      </c>
      <c r="AD22">
        <v>-22.015999999999998</v>
      </c>
      <c r="AE22">
        <v>-14.803000000000001</v>
      </c>
      <c r="AF22">
        <v>-8.7959999999999994</v>
      </c>
      <c r="AG22">
        <v>-4.5039999999999996</v>
      </c>
      <c r="AH22">
        <v>-1.7330000000000001</v>
      </c>
      <c r="AI22">
        <v>0.58099999999999996</v>
      </c>
      <c r="AJ22">
        <v>4.085</v>
      </c>
      <c r="AK22">
        <v>10.141</v>
      </c>
      <c r="AL22">
        <v>18.757999999999999</v>
      </c>
      <c r="AM22">
        <v>28.158999999999999</v>
      </c>
      <c r="AN22">
        <v>35.543999999999997</v>
      </c>
      <c r="AO22">
        <v>38.735999999999997</v>
      </c>
      <c r="AP22">
        <v>37.533999999999999</v>
      </c>
      <c r="AQ22">
        <v>33.783000000000001</v>
      </c>
      <c r="AR22">
        <v>30.155000000000001</v>
      </c>
      <c r="AS22">
        <v>28.616</v>
      </c>
      <c r="AT22">
        <v>29.541</v>
      </c>
      <c r="AU22">
        <v>31.887</v>
      </c>
      <c r="AV22">
        <v>34.146999999999998</v>
      </c>
      <c r="AW22">
        <v>35.372</v>
      </c>
      <c r="AX22">
        <v>35.554000000000002</v>
      </c>
      <c r="AY22">
        <v>35.064999999999998</v>
      </c>
      <c r="AZ22">
        <v>33.695</v>
      </c>
      <c r="BA22">
        <v>30.288</v>
      </c>
      <c r="BB22">
        <v>23.433</v>
      </c>
      <c r="BC22">
        <v>12.648999999999999</v>
      </c>
      <c r="BD22">
        <v>-1.0049999999999999</v>
      </c>
      <c r="BE22">
        <v>-15.294</v>
      </c>
      <c r="BF22">
        <v>-27.684999999999999</v>
      </c>
      <c r="BG22">
        <v>-36.064</v>
      </c>
      <c r="BH22">
        <v>-39.118000000000002</v>
      </c>
      <c r="BI22">
        <v>-36.600999999999999</v>
      </c>
      <c r="BJ22">
        <v>-29.555</v>
      </c>
      <c r="BK22">
        <v>-20.227</v>
      </c>
      <c r="BL22">
        <v>-11.385999999999999</v>
      </c>
      <c r="BM22">
        <v>-5.1559999999999997</v>
      </c>
      <c r="BN22">
        <v>-1.968</v>
      </c>
      <c r="BO22">
        <v>-0.36</v>
      </c>
      <c r="BP22">
        <v>2.1749999999999998</v>
      </c>
      <c r="BQ22">
        <v>7.6890000000000001</v>
      </c>
      <c r="BR22">
        <v>16.452999999999999</v>
      </c>
      <c r="BS22">
        <v>26.52</v>
      </c>
      <c r="BT22">
        <v>34.509</v>
      </c>
      <c r="BU22">
        <v>37.304000000000002</v>
      </c>
      <c r="BV22">
        <v>33.704000000000001</v>
      </c>
      <c r="BW22">
        <v>25.027999999999999</v>
      </c>
      <c r="BX22">
        <v>14.3</v>
      </c>
      <c r="BY22">
        <v>4.6379999999999999</v>
      </c>
      <c r="BZ22">
        <v>-2.081</v>
      </c>
      <c r="CA22">
        <v>-5.609</v>
      </c>
      <c r="CB22">
        <v>-6.8209999999999997</v>
      </c>
      <c r="CC22">
        <v>-6.944</v>
      </c>
      <c r="CD22">
        <v>-7.0110000000000001</v>
      </c>
      <c r="CE22">
        <v>-7.7270000000000003</v>
      </c>
      <c r="CF22">
        <v>-9.5869999999999997</v>
      </c>
      <c r="CG22">
        <v>-13.065</v>
      </c>
      <c r="CH22">
        <v>-18.728000000000002</v>
      </c>
      <c r="CI22">
        <v>-27.212</v>
      </c>
      <c r="CJ22">
        <v>-38.99</v>
      </c>
      <c r="CK22">
        <v>-53.893999999999998</v>
      </c>
      <c r="CL22">
        <v>-70.549000000000007</v>
      </c>
      <c r="CM22">
        <v>-86.096999999999994</v>
      </c>
      <c r="CN22">
        <v>-96.721000000000004</v>
      </c>
      <c r="CO22">
        <v>-99.048000000000002</v>
      </c>
      <c r="CP22">
        <v>-91.792000000000002</v>
      </c>
      <c r="CQ22">
        <v>-76.546999999999997</v>
      </c>
      <c r="CR22">
        <v>-57.098999999999997</v>
      </c>
      <c r="CS22">
        <v>-37.720999999999997</v>
      </c>
      <c r="CT22">
        <v>-21.510999999999999</v>
      </c>
      <c r="CU22">
        <v>-9.5440000000000005</v>
      </c>
      <c r="CV22">
        <v>-0.91</v>
      </c>
      <c r="CW22">
        <v>6.6020000000000003</v>
      </c>
      <c r="CX22">
        <v>15.343999999999999</v>
      </c>
      <c r="CY22">
        <v>26.486999999999998</v>
      </c>
      <c r="CZ22">
        <v>39.08</v>
      </c>
      <c r="DA22">
        <v>50.171999999999997</v>
      </c>
      <c r="DB22">
        <v>56.191000000000003</v>
      </c>
      <c r="DC22">
        <v>54.954999999999998</v>
      </c>
      <c r="DD22">
        <v>47.091000000000001</v>
      </c>
      <c r="DE22">
        <v>35.878999999999998</v>
      </c>
      <c r="DF22">
        <v>25.594999999999999</v>
      </c>
      <c r="DG22">
        <v>19.405999999999999</v>
      </c>
      <c r="DH22">
        <v>18.084</v>
      </c>
      <c r="DI22">
        <v>20.163</v>
      </c>
      <c r="DJ22">
        <v>23.216999999999999</v>
      </c>
      <c r="DK22">
        <v>25.39</v>
      </c>
      <c r="DL22">
        <v>26.263999999999999</v>
      </c>
      <c r="DM22">
        <v>26.696999999999999</v>
      </c>
      <c r="DN22">
        <v>27.966999999999999</v>
      </c>
      <c r="DO22">
        <v>30.943000000000001</v>
      </c>
      <c r="DP22">
        <v>35.71</v>
      </c>
      <c r="DQ22">
        <v>41.529000000000003</v>
      </c>
      <c r="DR22">
        <v>46.908000000000001</v>
      </c>
      <c r="DS22">
        <v>49.902999999999999</v>
      </c>
      <c r="DT22">
        <v>48.853999999999999</v>
      </c>
      <c r="DU22">
        <v>43.353000000000002</v>
      </c>
      <c r="DV22">
        <v>34.749000000000002</v>
      </c>
      <c r="DW22">
        <v>25.623999999999999</v>
      </c>
      <c r="DX22">
        <v>18.460999999999999</v>
      </c>
      <c r="DY22">
        <v>14.446</v>
      </c>
      <c r="DZ22">
        <v>13.244</v>
      </c>
      <c r="EA22">
        <v>13.757999999999999</v>
      </c>
      <c r="EB22">
        <v>15.048</v>
      </c>
      <c r="EC22">
        <v>16.673999999999999</v>
      </c>
      <c r="ED22">
        <v>18.449000000000002</v>
      </c>
      <c r="EE22">
        <v>20.123999999999999</v>
      </c>
      <c r="EF22">
        <v>21.27</v>
      </c>
      <c r="EG22">
        <v>21.196999999999999</v>
      </c>
      <c r="EH22">
        <v>18.821999999999999</v>
      </c>
      <c r="EI22">
        <v>12.784000000000001</v>
      </c>
      <c r="EJ22">
        <v>2.1560000000000001</v>
      </c>
      <c r="EK22">
        <v>-12.526</v>
      </c>
      <c r="EL22">
        <v>-28.734000000000002</v>
      </c>
      <c r="EM22">
        <v>-42.606999999999999</v>
      </c>
      <c r="EN22">
        <v>-50.616</v>
      </c>
      <c r="EO22">
        <v>-51.337000000000003</v>
      </c>
      <c r="EP22">
        <v>-46.268000000000001</v>
      </c>
      <c r="EQ22">
        <v>-39.206000000000003</v>
      </c>
      <c r="ER22">
        <v>-34.481000000000002</v>
      </c>
      <c r="ES22">
        <v>-34.884</v>
      </c>
      <c r="ET22">
        <v>-40.299999999999997</v>
      </c>
      <c r="EU22">
        <v>-47.767000000000003</v>
      </c>
      <c r="EV22">
        <v>-53.048999999999999</v>
      </c>
      <c r="EW22">
        <v>-52.981000000000002</v>
      </c>
      <c r="EX22">
        <v>-47.276000000000003</v>
      </c>
      <c r="EY22">
        <v>-38.597999999999999</v>
      </c>
      <c r="EZ22">
        <v>-30.739000000000001</v>
      </c>
      <c r="FA22">
        <v>-26.102</v>
      </c>
      <c r="FB22">
        <v>-24.338000000000001</v>
      </c>
      <c r="FC22">
        <v>-23.111000000000001</v>
      </c>
      <c r="FD22">
        <v>-20.288</v>
      </c>
      <c r="FE22">
        <v>-15.763999999999999</v>
      </c>
      <c r="FF22">
        <v>-11.525</v>
      </c>
      <c r="FG22">
        <v>-10.007</v>
      </c>
      <c r="FH22">
        <v>-12.090999999999999</v>
      </c>
      <c r="FI22">
        <v>-16.276</v>
      </c>
      <c r="FJ22">
        <v>-19.62</v>
      </c>
      <c r="FK22">
        <v>-19.687000000000001</v>
      </c>
      <c r="FL22">
        <v>-16.048999999999999</v>
      </c>
      <c r="FM22">
        <v>-10.287000000000001</v>
      </c>
      <c r="FN22">
        <v>-4.6779999999999999</v>
      </c>
      <c r="FO22">
        <v>-0.68500000000000005</v>
      </c>
      <c r="FP22">
        <v>1.706</v>
      </c>
      <c r="FQ22">
        <v>3.6030000000000002</v>
      </c>
      <c r="FR22">
        <v>6.3579999999999997</v>
      </c>
      <c r="FS22">
        <v>10.836</v>
      </c>
      <c r="FT22">
        <v>17.058</v>
      </c>
      <c r="FU22">
        <v>24.248000000000001</v>
      </c>
      <c r="FV22">
        <v>31.234999999999999</v>
      </c>
      <c r="FW22">
        <v>37.072000000000003</v>
      </c>
      <c r="FX22">
        <v>41.451999999999998</v>
      </c>
      <c r="FY22">
        <v>44.567</v>
      </c>
      <c r="FZ22">
        <v>46.475999999999999</v>
      </c>
      <c r="GA22">
        <v>46.621000000000002</v>
      </c>
      <c r="GB22">
        <v>44.076000000000001</v>
      </c>
      <c r="GC22">
        <v>38.451999999999998</v>
      </c>
      <c r="GD22">
        <v>30.677</v>
      </c>
      <c r="GE22">
        <v>22.776</v>
      </c>
      <c r="GF22">
        <v>16.617999999999999</v>
      </c>
      <c r="GG22">
        <v>12.558</v>
      </c>
      <c r="GH22">
        <v>9.1479999999999997</v>
      </c>
      <c r="GI22">
        <v>4.306</v>
      </c>
      <c r="GJ22">
        <v>-2.8690000000000002</v>
      </c>
      <c r="GK22">
        <v>-10.967000000000001</v>
      </c>
      <c r="GL22">
        <v>-16.744</v>
      </c>
      <c r="GM22">
        <v>-17.047000000000001</v>
      </c>
      <c r="GN22">
        <v>-10.971</v>
      </c>
      <c r="GO22">
        <v>-0.73899999999999999</v>
      </c>
      <c r="GP22">
        <v>9.4570000000000007</v>
      </c>
      <c r="GQ22">
        <v>15.993</v>
      </c>
      <c r="GR22">
        <v>17.905999999999999</v>
      </c>
      <c r="GS22">
        <v>17.018000000000001</v>
      </c>
      <c r="GT22">
        <v>16.094999999999999</v>
      </c>
      <c r="GU22">
        <v>16.571000000000002</v>
      </c>
      <c r="GV22">
        <v>17.602</v>
      </c>
      <c r="GW22">
        <v>17.052</v>
      </c>
      <c r="GX22">
        <v>13.529</v>
      </c>
      <c r="GY22">
        <v>7.7329999999999997</v>
      </c>
      <c r="GZ22">
        <v>1.9239999999999999</v>
      </c>
      <c r="HA22">
        <v>-2.1440000000000001</v>
      </c>
      <c r="HB22">
        <v>-5.0709999999999997</v>
      </c>
      <c r="HC22">
        <v>-9.6319999999999997</v>
      </c>
      <c r="HD22">
        <v>-18.443999999999999</v>
      </c>
      <c r="HE22">
        <v>-31.286000000000001</v>
      </c>
      <c r="HF22">
        <v>-44.441000000000003</v>
      </c>
      <c r="HG22">
        <v>-52.834000000000003</v>
      </c>
      <c r="HH22">
        <v>-53.518000000000001</v>
      </c>
      <c r="HI22">
        <v>-47.893000000000001</v>
      </c>
      <c r="HJ22">
        <v>-40.988999999999997</v>
      </c>
      <c r="HK22">
        <v>-38.270000000000003</v>
      </c>
      <c r="HL22">
        <v>-42.183999999999997</v>
      </c>
      <c r="HM22">
        <v>-50.707000000000001</v>
      </c>
      <c r="HN22">
        <v>-58.613999999999997</v>
      </c>
      <c r="HO22">
        <v>-60.353999999999999</v>
      </c>
      <c r="HP22">
        <v>-52.661000000000001</v>
      </c>
      <c r="HQ22">
        <v>-35.658999999999999</v>
      </c>
      <c r="HR22">
        <v>-12.403</v>
      </c>
      <c r="HS22">
        <v>12.409000000000001</v>
      </c>
      <c r="HT22">
        <v>33.929000000000002</v>
      </c>
      <c r="HU22">
        <v>48.600999999999999</v>
      </c>
      <c r="HV22">
        <v>55.398000000000003</v>
      </c>
      <c r="HW22">
        <v>56.286999999999999</v>
      </c>
      <c r="HX22">
        <v>55.350999999999999</v>
      </c>
      <c r="HY22">
        <v>56.701999999999998</v>
      </c>
      <c r="HZ22">
        <v>62.292000000000002</v>
      </c>
      <c r="IA22">
        <v>70.968999999999994</v>
      </c>
      <c r="IB22">
        <v>79.277000000000001</v>
      </c>
      <c r="IC22">
        <v>83.346999999999994</v>
      </c>
      <c r="ID22">
        <v>80.668999999999997</v>
      </c>
      <c r="IE22">
        <v>70.906999999999996</v>
      </c>
      <c r="IF22">
        <v>55.692</v>
      </c>
      <c r="IG22">
        <v>37.814999999999998</v>
      </c>
      <c r="IH22">
        <v>20.274000000000001</v>
      </c>
      <c r="II22">
        <v>5.41</v>
      </c>
      <c r="IJ22">
        <v>-5.7190000000000003</v>
      </c>
      <c r="IK22">
        <v>-13.643000000000001</v>
      </c>
      <c r="IL22">
        <v>-20.321000000000002</v>
      </c>
      <c r="IM22">
        <v>-28.376999999999999</v>
      </c>
      <c r="IN22">
        <v>-39.765000000000001</v>
      </c>
      <c r="IO22">
        <v>-54.326000000000001</v>
      </c>
      <c r="IP22">
        <v>-69.207999999999998</v>
      </c>
      <c r="IQ22">
        <v>-79.775000000000006</v>
      </c>
      <c r="IR22">
        <v>-81.734999999999999</v>
      </c>
      <c r="IS22">
        <v>-73.39</v>
      </c>
      <c r="IT22">
        <v>-56.847000000000001</v>
      </c>
      <c r="IU22">
        <v>-37.588999999999999</v>
      </c>
      <c r="IV22">
        <v>-22.448</v>
      </c>
      <c r="IW22">
        <v>-16.609000000000002</v>
      </c>
      <c r="IX22">
        <v>-20.797999999999998</v>
      </c>
      <c r="IY22">
        <v>-30.053999999999998</v>
      </c>
      <c r="IZ22">
        <v>-35.234000000000002</v>
      </c>
      <c r="JA22">
        <v>-27.335999999999999</v>
      </c>
      <c r="JB22">
        <v>-3.0459999999999998</v>
      </c>
      <c r="JC22">
        <v>31.800999999999998</v>
      </c>
      <c r="JD22">
        <v>64.483999999999995</v>
      </c>
      <c r="JE22">
        <v>84.180999999999997</v>
      </c>
      <c r="JF22">
        <v>90.076999999999998</v>
      </c>
      <c r="JG22" t="s">
        <v>77</v>
      </c>
    </row>
    <row r="23" spans="1:267" x14ac:dyDescent="0.4">
      <c r="A23">
        <v>22</v>
      </c>
      <c r="B23">
        <v>49</v>
      </c>
      <c r="C23">
        <v>1</v>
      </c>
      <c r="D23">
        <v>512</v>
      </c>
      <c r="E23">
        <v>0</v>
      </c>
      <c r="F23">
        <v>1691417926</v>
      </c>
      <c r="G23">
        <v>1</v>
      </c>
      <c r="H23" t="s">
        <v>27</v>
      </c>
      <c r="K23" t="s">
        <v>78</v>
      </c>
      <c r="M23">
        <v>16000</v>
      </c>
      <c r="N23">
        <v>40</v>
      </c>
      <c r="O23">
        <v>50</v>
      </c>
      <c r="P23">
        <v>90</v>
      </c>
      <c r="Q23">
        <v>5</v>
      </c>
      <c r="R23">
        <v>2</v>
      </c>
      <c r="S23">
        <v>40.96</v>
      </c>
      <c r="T23">
        <v>244</v>
      </c>
      <c r="U23">
        <v>0</v>
      </c>
      <c r="W23">
        <v>80.546999999999997</v>
      </c>
      <c r="X23">
        <v>110.20699999999999</v>
      </c>
      <c r="Y23">
        <v>124.148</v>
      </c>
      <c r="Z23">
        <v>121.869</v>
      </c>
      <c r="AA23">
        <v>108.004</v>
      </c>
      <c r="AB23">
        <v>89.263999999999996</v>
      </c>
      <c r="AC23">
        <v>71.317999999999998</v>
      </c>
      <c r="AD23">
        <v>57.215000000000003</v>
      </c>
      <c r="AE23">
        <v>47.603999999999999</v>
      </c>
      <c r="AF23">
        <v>41.936999999999998</v>
      </c>
      <c r="AG23">
        <v>39.573</v>
      </c>
      <c r="AH23">
        <v>40.094000000000001</v>
      </c>
      <c r="AI23">
        <v>42.936</v>
      </c>
      <c r="AJ23">
        <v>46.985999999999997</v>
      </c>
      <c r="AK23">
        <v>50.689</v>
      </c>
      <c r="AL23">
        <v>52.621000000000002</v>
      </c>
      <c r="AM23">
        <v>52.023000000000003</v>
      </c>
      <c r="AN23">
        <v>48.875</v>
      </c>
      <c r="AO23">
        <v>43.56</v>
      </c>
      <c r="AP23">
        <v>36.460999999999999</v>
      </c>
      <c r="AQ23">
        <v>27.896999999999998</v>
      </c>
      <c r="AR23">
        <v>18.437000000000001</v>
      </c>
      <c r="AS23">
        <v>9.3030000000000008</v>
      </c>
      <c r="AT23">
        <v>2.371</v>
      </c>
      <c r="AU23">
        <v>-0.42</v>
      </c>
      <c r="AV23">
        <v>2.0510000000000002</v>
      </c>
      <c r="AW23">
        <v>9.4629999999999992</v>
      </c>
      <c r="AX23">
        <v>19.960999999999999</v>
      </c>
      <c r="AY23">
        <v>30.471</v>
      </c>
      <c r="AZ23">
        <v>37.270000000000003</v>
      </c>
      <c r="BA23">
        <v>36.878999999999998</v>
      </c>
      <c r="BB23">
        <v>27.294</v>
      </c>
      <c r="BC23">
        <v>9.1270000000000007</v>
      </c>
      <c r="BD23">
        <v>-14.129</v>
      </c>
      <c r="BE23">
        <v>-37.222000000000001</v>
      </c>
      <c r="BF23">
        <v>-55.259</v>
      </c>
      <c r="BG23">
        <v>-65.674999999999997</v>
      </c>
      <c r="BH23">
        <v>-68.933000000000007</v>
      </c>
      <c r="BI23">
        <v>-67.671999999999997</v>
      </c>
      <c r="BJ23">
        <v>-65.052999999999997</v>
      </c>
      <c r="BK23">
        <v>-63.366999999999997</v>
      </c>
      <c r="BL23">
        <v>-63.524000000000001</v>
      </c>
      <c r="BM23">
        <v>-65.272999999999996</v>
      </c>
      <c r="BN23">
        <v>-67.721000000000004</v>
      </c>
      <c r="BO23">
        <v>-69.869</v>
      </c>
      <c r="BP23">
        <v>-71.052999999999997</v>
      </c>
      <c r="BQ23">
        <v>-71.111000000000004</v>
      </c>
      <c r="BR23">
        <v>-70.16</v>
      </c>
      <c r="BS23">
        <v>-68.091999999999999</v>
      </c>
      <c r="BT23">
        <v>-64.204999999999998</v>
      </c>
      <c r="BU23">
        <v>-57.301000000000002</v>
      </c>
      <c r="BV23">
        <v>-46.292999999999999</v>
      </c>
      <c r="BW23">
        <v>-31.013000000000002</v>
      </c>
      <c r="BX23">
        <v>-12.795999999999999</v>
      </c>
      <c r="BY23">
        <v>5.5250000000000004</v>
      </c>
      <c r="BZ23">
        <v>20.417000000000002</v>
      </c>
      <c r="CA23">
        <v>29.016999999999999</v>
      </c>
      <c r="CB23">
        <v>30.382999999999999</v>
      </c>
      <c r="CC23">
        <v>25.888999999999999</v>
      </c>
      <c r="CD23">
        <v>18.530999999999999</v>
      </c>
      <c r="CE23">
        <v>11.606</v>
      </c>
      <c r="CF23">
        <v>7.4720000000000004</v>
      </c>
      <c r="CG23">
        <v>6.8680000000000003</v>
      </c>
      <c r="CH23">
        <v>8.9920000000000009</v>
      </c>
      <c r="CI23">
        <v>12.307</v>
      </c>
      <c r="CJ23">
        <v>15.666</v>
      </c>
      <c r="CK23">
        <v>19.065999999999999</v>
      </c>
      <c r="CL23">
        <v>23.459</v>
      </c>
      <c r="CM23">
        <v>29.763999999999999</v>
      </c>
      <c r="CN23">
        <v>37.889000000000003</v>
      </c>
      <c r="CO23">
        <v>46.506</v>
      </c>
      <c r="CP23">
        <v>53.539000000000001</v>
      </c>
      <c r="CQ23">
        <v>56.759</v>
      </c>
      <c r="CR23">
        <v>54.122999999999998</v>
      </c>
      <c r="CS23">
        <v>44.142000000000003</v>
      </c>
      <c r="CT23">
        <v>26.664999999999999</v>
      </c>
      <c r="CU23">
        <v>3.7589999999999999</v>
      </c>
      <c r="CV23">
        <v>-20.260000000000002</v>
      </c>
      <c r="CW23">
        <v>-40.192999999999998</v>
      </c>
      <c r="CX23">
        <v>-52.142000000000003</v>
      </c>
      <c r="CY23">
        <v>-55.170999999999999</v>
      </c>
      <c r="CZ23">
        <v>-51.485999999999997</v>
      </c>
      <c r="DA23">
        <v>-45.122999999999998</v>
      </c>
      <c r="DB23">
        <v>-39.875</v>
      </c>
      <c r="DC23">
        <v>-37.460999999999999</v>
      </c>
      <c r="DD23">
        <v>-36.896000000000001</v>
      </c>
      <c r="DE23">
        <v>-35.594000000000001</v>
      </c>
      <c r="DF23">
        <v>-31.614999999999998</v>
      </c>
      <c r="DG23">
        <v>-25.414000000000001</v>
      </c>
      <c r="DH23">
        <v>-19.606000000000002</v>
      </c>
      <c r="DI23">
        <v>-16.872</v>
      </c>
      <c r="DJ23">
        <v>-17.690000000000001</v>
      </c>
      <c r="DK23">
        <v>-19.701000000000001</v>
      </c>
      <c r="DL23">
        <v>-19.152000000000001</v>
      </c>
      <c r="DM23">
        <v>-13.327</v>
      </c>
      <c r="DN23">
        <v>-2.282</v>
      </c>
      <c r="DO23">
        <v>11.228999999999999</v>
      </c>
      <c r="DP23">
        <v>23.462</v>
      </c>
      <c r="DQ23">
        <v>31.878</v>
      </c>
      <c r="DR23">
        <v>36.463999999999999</v>
      </c>
      <c r="DS23">
        <v>39.515999999999998</v>
      </c>
      <c r="DT23">
        <v>44.106999999999999</v>
      </c>
      <c r="DU23">
        <v>52.170999999999999</v>
      </c>
      <c r="DV23">
        <v>63.36</v>
      </c>
      <c r="DW23">
        <v>75.266000000000005</v>
      </c>
      <c r="DX23">
        <v>84.733999999999995</v>
      </c>
      <c r="DY23">
        <v>89.32</v>
      </c>
      <c r="DZ23">
        <v>88.183999999999997</v>
      </c>
      <c r="EA23">
        <v>82.231999999999999</v>
      </c>
      <c r="EB23">
        <v>73.667000000000002</v>
      </c>
      <c r="EC23">
        <v>65.084999999999994</v>
      </c>
      <c r="ED23">
        <v>58.402999999999999</v>
      </c>
      <c r="EE23">
        <v>54.076000000000001</v>
      </c>
      <c r="EF23">
        <v>51.063000000000002</v>
      </c>
      <c r="EG23">
        <v>47.523000000000003</v>
      </c>
      <c r="EH23">
        <v>41.875999999999998</v>
      </c>
      <c r="EI23">
        <v>33.729999999999997</v>
      </c>
      <c r="EJ23">
        <v>24.294</v>
      </c>
      <c r="EK23">
        <v>15.962</v>
      </c>
      <c r="EL23">
        <v>10.997</v>
      </c>
      <c r="EM23">
        <v>9.89</v>
      </c>
      <c r="EN23">
        <v>10.555999999999999</v>
      </c>
      <c r="EO23">
        <v>9.2010000000000005</v>
      </c>
      <c r="EP23">
        <v>2.5209999999999999</v>
      </c>
      <c r="EQ23">
        <v>-10.237</v>
      </c>
      <c r="ER23">
        <v>-26.823</v>
      </c>
      <c r="ES23">
        <v>-43.402999999999999</v>
      </c>
      <c r="ET23">
        <v>-56.765999999999998</v>
      </c>
      <c r="EU23">
        <v>-65.774000000000001</v>
      </c>
      <c r="EV23">
        <v>-71.254999999999995</v>
      </c>
      <c r="EW23">
        <v>-74.662000000000006</v>
      </c>
      <c r="EX23">
        <v>-76.599000000000004</v>
      </c>
      <c r="EY23">
        <v>-76.251999999999995</v>
      </c>
      <c r="EZ23">
        <v>-72.106999999999999</v>
      </c>
      <c r="FA23">
        <v>-63.463999999999999</v>
      </c>
      <c r="FB23">
        <v>-51.656999999999996</v>
      </c>
      <c r="FC23">
        <v>-39.978000000000002</v>
      </c>
      <c r="FD23">
        <v>-32.247999999999998</v>
      </c>
      <c r="FE23">
        <v>-30.901</v>
      </c>
      <c r="FF23">
        <v>-35.765000000000001</v>
      </c>
      <c r="FG23">
        <v>-44.148000000000003</v>
      </c>
      <c r="FH23">
        <v>-52.039000000000001</v>
      </c>
      <c r="FI23">
        <v>-55.844000000000001</v>
      </c>
      <c r="FJ23">
        <v>-53.936</v>
      </c>
      <c r="FK23">
        <v>-47.392000000000003</v>
      </c>
      <c r="FL23">
        <v>-39.572000000000003</v>
      </c>
      <c r="FM23">
        <v>-34.636000000000003</v>
      </c>
      <c r="FN23">
        <v>-35.576999999999998</v>
      </c>
      <c r="FO23">
        <v>-42.658999999999999</v>
      </c>
      <c r="FP23">
        <v>-53.098999999999997</v>
      </c>
      <c r="FQ23">
        <v>-62.308999999999997</v>
      </c>
      <c r="FR23">
        <v>-66.103999999999999</v>
      </c>
      <c r="FS23">
        <v>-62.588999999999999</v>
      </c>
      <c r="FT23">
        <v>-52.69</v>
      </c>
      <c r="FU23">
        <v>-39.210999999999999</v>
      </c>
      <c r="FV23">
        <v>-25.282</v>
      </c>
      <c r="FW23">
        <v>-13.135</v>
      </c>
      <c r="FX23">
        <v>-3.6419999999999999</v>
      </c>
      <c r="FY23">
        <v>3.5259999999999998</v>
      </c>
      <c r="FZ23">
        <v>9.4649999999999999</v>
      </c>
      <c r="GA23">
        <v>15.534000000000001</v>
      </c>
      <c r="GB23">
        <v>22.937000000000001</v>
      </c>
      <c r="GC23">
        <v>32.463999999999999</v>
      </c>
      <c r="GD23">
        <v>44.351999999999997</v>
      </c>
      <c r="GE23">
        <v>58.09</v>
      </c>
      <c r="GF23">
        <v>72.111999999999995</v>
      </c>
      <c r="GG23">
        <v>83.736999999999995</v>
      </c>
      <c r="GH23">
        <v>89.814999999999998</v>
      </c>
      <c r="GI23">
        <v>88.108000000000004</v>
      </c>
      <c r="GJ23">
        <v>78.635000000000005</v>
      </c>
      <c r="GK23">
        <v>64.006</v>
      </c>
      <c r="GL23">
        <v>48.366</v>
      </c>
      <c r="GM23">
        <v>35.54</v>
      </c>
      <c r="GN23">
        <v>27.553999999999998</v>
      </c>
      <c r="GO23">
        <v>24.423999999999999</v>
      </c>
      <c r="GP23">
        <v>25.178999999999998</v>
      </c>
      <c r="GQ23">
        <v>29.196999999999999</v>
      </c>
      <c r="GR23">
        <v>36.845999999999997</v>
      </c>
      <c r="GS23">
        <v>49.043999999999997</v>
      </c>
      <c r="GT23">
        <v>66.144000000000005</v>
      </c>
      <c r="GU23">
        <v>86.801000000000002</v>
      </c>
      <c r="GV23">
        <v>107.373</v>
      </c>
      <c r="GW23">
        <v>122.349</v>
      </c>
      <c r="GX23">
        <v>126.059</v>
      </c>
      <c r="GY23">
        <v>115.276</v>
      </c>
      <c r="GZ23">
        <v>91.379000000000005</v>
      </c>
      <c r="HA23">
        <v>60.51</v>
      </c>
      <c r="HB23">
        <v>31.117000000000001</v>
      </c>
      <c r="HC23">
        <v>9.9939999999999998</v>
      </c>
      <c r="HD23">
        <v>-0.92500000000000004</v>
      </c>
      <c r="HE23">
        <v>-5.0960000000000001</v>
      </c>
      <c r="HF23">
        <v>-8.92</v>
      </c>
      <c r="HG23">
        <v>-17.866</v>
      </c>
      <c r="HH23">
        <v>-33.478000000000002</v>
      </c>
      <c r="HI23">
        <v>-52.890999999999998</v>
      </c>
      <c r="HJ23">
        <v>-70.908000000000001</v>
      </c>
      <c r="HK23">
        <v>-83.221000000000004</v>
      </c>
      <c r="HL23">
        <v>-88.766999999999996</v>
      </c>
      <c r="HM23">
        <v>-89.856999999999999</v>
      </c>
      <c r="HN23">
        <v>-90.183999999999997</v>
      </c>
      <c r="HO23">
        <v>-92.265000000000001</v>
      </c>
      <c r="HP23">
        <v>-96.200999999999993</v>
      </c>
      <c r="HQ23">
        <v>-100.461</v>
      </c>
      <c r="HR23">
        <v>-103.66200000000001</v>
      </c>
      <c r="HS23">
        <v>-105.59</v>
      </c>
      <c r="HT23">
        <v>-106.673</v>
      </c>
      <c r="HU23">
        <v>-106.72799999999999</v>
      </c>
      <c r="HV23">
        <v>-104.312</v>
      </c>
      <c r="HW23">
        <v>-97.272999999999996</v>
      </c>
      <c r="HX23">
        <v>-83.888000000000005</v>
      </c>
      <c r="HY23">
        <v>-63.741</v>
      </c>
      <c r="HZ23">
        <v>-37.951999999999998</v>
      </c>
      <c r="IA23">
        <v>-9.0090000000000003</v>
      </c>
      <c r="IB23">
        <v>19.587</v>
      </c>
      <c r="IC23">
        <v>43.987000000000002</v>
      </c>
      <c r="ID23">
        <v>61.16</v>
      </c>
      <c r="IE23">
        <v>70.242999999999995</v>
      </c>
      <c r="IF23">
        <v>73.149000000000001</v>
      </c>
      <c r="IG23">
        <v>73.69</v>
      </c>
      <c r="IH23">
        <v>75.513999999999996</v>
      </c>
      <c r="II23">
        <v>80.135999999999996</v>
      </c>
      <c r="IJ23">
        <v>86.278000000000006</v>
      </c>
      <c r="IK23">
        <v>90.781000000000006</v>
      </c>
      <c r="IL23">
        <v>90.384</v>
      </c>
      <c r="IM23">
        <v>83.337000000000003</v>
      </c>
      <c r="IN23">
        <v>70.191000000000003</v>
      </c>
      <c r="IO23">
        <v>53.588999999999999</v>
      </c>
      <c r="IP23">
        <v>37.268000000000001</v>
      </c>
      <c r="IQ23">
        <v>24.620999999999999</v>
      </c>
      <c r="IR23">
        <v>17.254999999999999</v>
      </c>
      <c r="IS23">
        <v>14.01</v>
      </c>
      <c r="IT23">
        <v>10.865</v>
      </c>
      <c r="IU23">
        <v>1.986</v>
      </c>
      <c r="IV23">
        <v>-18.073</v>
      </c>
      <c r="IW23">
        <v>-51.317999999999998</v>
      </c>
      <c r="IX23">
        <v>-93.302000000000007</v>
      </c>
      <c r="IY23">
        <v>-131.83000000000001</v>
      </c>
      <c r="IZ23">
        <v>-149.55799999999999</v>
      </c>
      <c r="JA23">
        <v>-131.483</v>
      </c>
      <c r="JB23">
        <v>-75.111000000000004</v>
      </c>
      <c r="JC23">
        <v>3.105</v>
      </c>
      <c r="JD23">
        <v>73.106999999999999</v>
      </c>
      <c r="JE23">
        <v>110.596</v>
      </c>
      <c r="JF23">
        <v>114.68</v>
      </c>
      <c r="JG23" t="s">
        <v>77</v>
      </c>
    </row>
    <row r="24" spans="1:267" x14ac:dyDescent="0.4">
      <c r="A24">
        <v>23</v>
      </c>
      <c r="B24">
        <v>50</v>
      </c>
      <c r="C24">
        <v>1</v>
      </c>
      <c r="D24">
        <v>512</v>
      </c>
      <c r="E24">
        <v>0</v>
      </c>
      <c r="F24">
        <v>1691417951</v>
      </c>
      <c r="G24">
        <v>1</v>
      </c>
      <c r="H24" t="s">
        <v>27</v>
      </c>
      <c r="K24" t="s">
        <v>78</v>
      </c>
      <c r="M24">
        <v>16000</v>
      </c>
      <c r="N24">
        <v>30</v>
      </c>
      <c r="O24">
        <v>60</v>
      </c>
      <c r="P24">
        <v>90</v>
      </c>
      <c r="Q24">
        <v>5</v>
      </c>
      <c r="R24">
        <v>2</v>
      </c>
      <c r="S24">
        <v>40.96</v>
      </c>
      <c r="T24">
        <v>244</v>
      </c>
      <c r="U24">
        <v>0</v>
      </c>
      <c r="W24">
        <v>-77.146000000000001</v>
      </c>
      <c r="X24">
        <v>-96.358000000000004</v>
      </c>
      <c r="Y24">
        <v>-103.751</v>
      </c>
      <c r="Z24">
        <v>-99.832999999999998</v>
      </c>
      <c r="AA24">
        <v>-88.105999999999995</v>
      </c>
      <c r="AB24">
        <v>-72.337999999999994</v>
      </c>
      <c r="AC24">
        <v>-54.88</v>
      </c>
      <c r="AD24">
        <v>-36.899000000000001</v>
      </c>
      <c r="AE24">
        <v>-19.617999999999999</v>
      </c>
      <c r="AF24">
        <v>-5.016</v>
      </c>
      <c r="AG24">
        <v>4.726</v>
      </c>
      <c r="AH24">
        <v>8.5340000000000007</v>
      </c>
      <c r="AI24">
        <v>7.359</v>
      </c>
      <c r="AJ24">
        <v>4.0010000000000003</v>
      </c>
      <c r="AK24">
        <v>1.9530000000000001</v>
      </c>
      <c r="AL24">
        <v>4.0279999999999996</v>
      </c>
      <c r="AM24">
        <v>11.430999999999999</v>
      </c>
      <c r="AN24">
        <v>23.553999999999998</v>
      </c>
      <c r="AO24">
        <v>38.359000000000002</v>
      </c>
      <c r="AP24">
        <v>53.136000000000003</v>
      </c>
      <c r="AQ24">
        <v>65.361000000000004</v>
      </c>
      <c r="AR24">
        <v>73.37</v>
      </c>
      <c r="AS24">
        <v>76.643000000000001</v>
      </c>
      <c r="AT24">
        <v>75.629000000000005</v>
      </c>
      <c r="AU24">
        <v>71.224999999999994</v>
      </c>
      <c r="AV24">
        <v>64.238</v>
      </c>
      <c r="AW24">
        <v>55.252000000000002</v>
      </c>
      <c r="AX24">
        <v>45.127000000000002</v>
      </c>
      <c r="AY24">
        <v>35.707000000000001</v>
      </c>
      <c r="AZ24">
        <v>29.853000000000002</v>
      </c>
      <c r="BA24">
        <v>30.213999999999999</v>
      </c>
      <c r="BB24">
        <v>37.241999999999997</v>
      </c>
      <c r="BC24">
        <v>47.956000000000003</v>
      </c>
      <c r="BD24">
        <v>56.710999999999999</v>
      </c>
      <c r="BE24">
        <v>57.869</v>
      </c>
      <c r="BF24">
        <v>48.793999999999997</v>
      </c>
      <c r="BG24">
        <v>31.242000000000001</v>
      </c>
      <c r="BH24">
        <v>10.285</v>
      </c>
      <c r="BI24">
        <v>-8.4540000000000006</v>
      </c>
      <c r="BJ24">
        <v>-21.434000000000001</v>
      </c>
      <c r="BK24">
        <v>-28.238</v>
      </c>
      <c r="BL24">
        <v>-30.872</v>
      </c>
      <c r="BM24">
        <v>-32.246000000000002</v>
      </c>
      <c r="BN24">
        <v>-34.921999999999997</v>
      </c>
      <c r="BO24">
        <v>-40.524000000000001</v>
      </c>
      <c r="BP24">
        <v>-49.561999999999998</v>
      </c>
      <c r="BQ24">
        <v>-61.292000000000002</v>
      </c>
      <c r="BR24">
        <v>-73.616</v>
      </c>
      <c r="BS24">
        <v>-83.391000000000005</v>
      </c>
      <c r="BT24">
        <v>-87.447000000000003</v>
      </c>
      <c r="BU24">
        <v>-84.004000000000005</v>
      </c>
      <c r="BV24">
        <v>-73.682000000000002</v>
      </c>
      <c r="BW24">
        <v>-59.38</v>
      </c>
      <c r="BX24">
        <v>-44.997999999999998</v>
      </c>
      <c r="BY24">
        <v>-33.768999999999998</v>
      </c>
      <c r="BZ24">
        <v>-27.100999999999999</v>
      </c>
      <c r="CA24">
        <v>-24.350999999999999</v>
      </c>
      <c r="CB24">
        <v>-23.428999999999998</v>
      </c>
      <c r="CC24">
        <v>-21.867000000000001</v>
      </c>
      <c r="CD24">
        <v>-18.013000000000002</v>
      </c>
      <c r="CE24">
        <v>-11.868</v>
      </c>
      <c r="CF24">
        <v>-5.0410000000000004</v>
      </c>
      <c r="CG24">
        <v>0.35099999999999998</v>
      </c>
      <c r="CH24">
        <v>3.2090000000000001</v>
      </c>
      <c r="CI24">
        <v>4.2830000000000004</v>
      </c>
      <c r="CJ24">
        <v>5.5709999999999997</v>
      </c>
      <c r="CK24">
        <v>8.6959999999999997</v>
      </c>
      <c r="CL24">
        <v>13.569000000000001</v>
      </c>
      <c r="CM24">
        <v>18.431999999999999</v>
      </c>
      <c r="CN24">
        <v>21.245999999999999</v>
      </c>
      <c r="CO24">
        <v>21.266999999999999</v>
      </c>
      <c r="CP24">
        <v>19.603999999999999</v>
      </c>
      <c r="CQ24">
        <v>18.405999999999999</v>
      </c>
      <c r="CR24">
        <v>19.407</v>
      </c>
      <c r="CS24">
        <v>22.922000000000001</v>
      </c>
      <c r="CT24">
        <v>27.931000000000001</v>
      </c>
      <c r="CU24">
        <v>32.966000000000001</v>
      </c>
      <c r="CV24">
        <v>36.957999999999998</v>
      </c>
      <c r="CW24">
        <v>39.436999999999998</v>
      </c>
      <c r="CX24">
        <v>40.134</v>
      </c>
      <c r="CY24">
        <v>38.536000000000001</v>
      </c>
      <c r="CZ24">
        <v>33.835999999999999</v>
      </c>
      <c r="DA24">
        <v>25.431000000000001</v>
      </c>
      <c r="DB24">
        <v>13.769</v>
      </c>
      <c r="DC24">
        <v>1.03</v>
      </c>
      <c r="DD24">
        <v>-9.1199999999999992</v>
      </c>
      <c r="DE24">
        <v>-13.022</v>
      </c>
      <c r="DF24">
        <v>-9.1820000000000004</v>
      </c>
      <c r="DG24">
        <v>0.36</v>
      </c>
      <c r="DH24">
        <v>10.6</v>
      </c>
      <c r="DI24">
        <v>16.012</v>
      </c>
      <c r="DJ24">
        <v>13.452999999999999</v>
      </c>
      <c r="DK24">
        <v>3.8109999999999999</v>
      </c>
      <c r="DL24">
        <v>-8.4640000000000004</v>
      </c>
      <c r="DM24">
        <v>-17.506</v>
      </c>
      <c r="DN24">
        <v>-18.649000000000001</v>
      </c>
      <c r="DO24">
        <v>-10.381</v>
      </c>
      <c r="DP24">
        <v>5.0019999999999998</v>
      </c>
      <c r="DQ24">
        <v>22.248999999999999</v>
      </c>
      <c r="DR24">
        <v>35.320999999999998</v>
      </c>
      <c r="DS24">
        <v>40.055</v>
      </c>
      <c r="DT24">
        <v>36.039000000000001</v>
      </c>
      <c r="DU24">
        <v>26.61</v>
      </c>
      <c r="DV24">
        <v>16.908000000000001</v>
      </c>
      <c r="DW24">
        <v>11.19</v>
      </c>
      <c r="DX24">
        <v>11.051</v>
      </c>
      <c r="DY24">
        <v>15.457000000000001</v>
      </c>
      <c r="DZ24">
        <v>22.134</v>
      </c>
      <c r="EA24">
        <v>29.007000000000001</v>
      </c>
      <c r="EB24">
        <v>34.707000000000001</v>
      </c>
      <c r="EC24">
        <v>38.216999999999999</v>
      </c>
      <c r="ED24">
        <v>38.472000000000001</v>
      </c>
      <c r="EE24">
        <v>34.533000000000001</v>
      </c>
      <c r="EF24">
        <v>26.196999999999999</v>
      </c>
      <c r="EG24">
        <v>14.455</v>
      </c>
      <c r="EH24">
        <v>1.3480000000000001</v>
      </c>
      <c r="EI24">
        <v>-10.746</v>
      </c>
      <c r="EJ24">
        <v>-20.012</v>
      </c>
      <c r="EK24">
        <v>-25.844000000000001</v>
      </c>
      <c r="EL24">
        <v>-28.983000000000001</v>
      </c>
      <c r="EM24">
        <v>-31.143000000000001</v>
      </c>
      <c r="EN24">
        <v>-34.375999999999998</v>
      </c>
      <c r="EO24">
        <v>-40.344000000000001</v>
      </c>
      <c r="EP24">
        <v>-49.585999999999999</v>
      </c>
      <c r="EQ24">
        <v>-60.996000000000002</v>
      </c>
      <c r="ER24">
        <v>-71.947000000000003</v>
      </c>
      <c r="ES24">
        <v>-79.284000000000006</v>
      </c>
      <c r="ET24">
        <v>-80.709999999999994</v>
      </c>
      <c r="EU24">
        <v>-75.703999999999994</v>
      </c>
      <c r="EV24">
        <v>-65.498999999999995</v>
      </c>
      <c r="EW24">
        <v>-52.494</v>
      </c>
      <c r="EX24">
        <v>-39.658999999999999</v>
      </c>
      <c r="EY24">
        <v>-30.024999999999999</v>
      </c>
      <c r="EZ24">
        <v>-25.981000000000002</v>
      </c>
      <c r="FA24">
        <v>-28.388000000000002</v>
      </c>
      <c r="FB24">
        <v>-36.027999999999999</v>
      </c>
      <c r="FC24">
        <v>-45.841000000000001</v>
      </c>
      <c r="FD24">
        <v>-53.87</v>
      </c>
      <c r="FE24">
        <v>-56.472999999999999</v>
      </c>
      <c r="FF24">
        <v>-51.402000000000001</v>
      </c>
      <c r="FG24">
        <v>-38.566000000000003</v>
      </c>
      <c r="FH24">
        <v>-20.23</v>
      </c>
      <c r="FI24">
        <v>-0.42</v>
      </c>
      <c r="FJ24">
        <v>16.483000000000001</v>
      </c>
      <c r="FK24">
        <v>27.367999999999999</v>
      </c>
      <c r="FL24">
        <v>31.46</v>
      </c>
      <c r="FM24">
        <v>30.300999999999998</v>
      </c>
      <c r="FN24">
        <v>26.773</v>
      </c>
      <c r="FO24">
        <v>23.824999999999999</v>
      </c>
      <c r="FP24">
        <v>23.619</v>
      </c>
      <c r="FQ24">
        <v>27.343</v>
      </c>
      <c r="FR24">
        <v>35.390999999999998</v>
      </c>
      <c r="FS24">
        <v>47.362000000000002</v>
      </c>
      <c r="FT24">
        <v>61.76</v>
      </c>
      <c r="FU24">
        <v>75.903999999999996</v>
      </c>
      <c r="FV24">
        <v>86.534000000000006</v>
      </c>
      <c r="FW24">
        <v>91.021000000000001</v>
      </c>
      <c r="FX24">
        <v>88.363</v>
      </c>
      <c r="FY24">
        <v>79.387</v>
      </c>
      <c r="FZ24">
        <v>66.25</v>
      </c>
      <c r="GA24">
        <v>51.774999999999999</v>
      </c>
      <c r="GB24">
        <v>38.838999999999999</v>
      </c>
      <c r="GC24">
        <v>29.634</v>
      </c>
      <c r="GD24">
        <v>24.826000000000001</v>
      </c>
      <c r="GE24">
        <v>23.146000000000001</v>
      </c>
      <c r="GF24">
        <v>21.937999999999999</v>
      </c>
      <c r="GG24">
        <v>18.518000000000001</v>
      </c>
      <c r="GH24">
        <v>11.561999999999999</v>
      </c>
      <c r="GI24">
        <v>1.704</v>
      </c>
      <c r="GJ24">
        <v>-8.9309999999999992</v>
      </c>
      <c r="GK24">
        <v>-17.971</v>
      </c>
      <c r="GL24">
        <v>-24.141999999999999</v>
      </c>
      <c r="GM24">
        <v>-28.044</v>
      </c>
      <c r="GN24">
        <v>-31.885000000000002</v>
      </c>
      <c r="GO24">
        <v>-38.204000000000001</v>
      </c>
      <c r="GP24">
        <v>-48.215000000000003</v>
      </c>
      <c r="GQ24">
        <v>-60.722999999999999</v>
      </c>
      <c r="GR24">
        <v>-72.290000000000006</v>
      </c>
      <c r="GS24">
        <v>-78.623000000000005</v>
      </c>
      <c r="GT24">
        <v>-76.453000000000003</v>
      </c>
      <c r="GU24">
        <v>-64.975999999999999</v>
      </c>
      <c r="GV24">
        <v>-46.25</v>
      </c>
      <c r="GW24">
        <v>-24.396000000000001</v>
      </c>
      <c r="GX24">
        <v>-3.96</v>
      </c>
      <c r="GY24">
        <v>11.827999999999999</v>
      </c>
      <c r="GZ24">
        <v>22.004999999999999</v>
      </c>
      <c r="HA24">
        <v>27.635000000000002</v>
      </c>
      <c r="HB24">
        <v>30.704999999999998</v>
      </c>
      <c r="HC24">
        <v>32.962000000000003</v>
      </c>
      <c r="HD24">
        <v>35.326000000000001</v>
      </c>
      <c r="HE24">
        <v>37.945</v>
      </c>
      <c r="HF24">
        <v>40.601999999999997</v>
      </c>
      <c r="HG24">
        <v>43.037999999999997</v>
      </c>
      <c r="HH24">
        <v>44.915999999999997</v>
      </c>
      <c r="HI24">
        <v>45.558999999999997</v>
      </c>
      <c r="HJ24">
        <v>43.914999999999999</v>
      </c>
      <c r="HK24">
        <v>39.064999999999998</v>
      </c>
      <c r="HL24">
        <v>30.942</v>
      </c>
      <c r="HM24">
        <v>20.526</v>
      </c>
      <c r="HN24">
        <v>9.18</v>
      </c>
      <c r="HO24">
        <v>-2.3069999999999999</v>
      </c>
      <c r="HP24">
        <v>-14.089</v>
      </c>
      <c r="HQ24">
        <v>-26.678000000000001</v>
      </c>
      <c r="HR24">
        <v>-39.957999999999998</v>
      </c>
      <c r="HS24">
        <v>-52.637</v>
      </c>
      <c r="HT24">
        <v>-62.570999999999998</v>
      </c>
      <c r="HU24">
        <v>-67.703999999999994</v>
      </c>
      <c r="HV24">
        <v>-67.08</v>
      </c>
      <c r="HW24">
        <v>-61.338000000000001</v>
      </c>
      <c r="HX24">
        <v>-52.383000000000003</v>
      </c>
      <c r="HY24">
        <v>-42.366</v>
      </c>
      <c r="HZ24">
        <v>-32.585999999999999</v>
      </c>
      <c r="IA24">
        <v>-23.036999999999999</v>
      </c>
      <c r="IB24">
        <v>-12.882</v>
      </c>
      <c r="IC24">
        <v>-1.466</v>
      </c>
      <c r="ID24">
        <v>10.914</v>
      </c>
      <c r="IE24">
        <v>22.98</v>
      </c>
      <c r="IF24">
        <v>33.170999999999999</v>
      </c>
      <c r="IG24">
        <v>40.51</v>
      </c>
      <c r="IH24">
        <v>45.066000000000003</v>
      </c>
      <c r="II24">
        <v>47.75</v>
      </c>
      <c r="IJ24">
        <v>49.646999999999998</v>
      </c>
      <c r="IK24">
        <v>51.323</v>
      </c>
      <c r="IL24">
        <v>52.491999999999997</v>
      </c>
      <c r="IM24">
        <v>52.177</v>
      </c>
      <c r="IN24">
        <v>49.231999999999999</v>
      </c>
      <c r="IO24">
        <v>42.97</v>
      </c>
      <c r="IP24">
        <v>33.581000000000003</v>
      </c>
      <c r="IQ24">
        <v>22.102</v>
      </c>
      <c r="IR24">
        <v>9.8450000000000006</v>
      </c>
      <c r="IS24">
        <v>-2.5329999999999999</v>
      </c>
      <c r="IT24">
        <v>-15.76</v>
      </c>
      <c r="IU24">
        <v>-31.876000000000001</v>
      </c>
      <c r="IV24">
        <v>-53.024999999999999</v>
      </c>
      <c r="IW24">
        <v>-79.370999999999995</v>
      </c>
      <c r="IX24">
        <v>-107.004</v>
      </c>
      <c r="IY24">
        <v>-127.12</v>
      </c>
      <c r="IZ24">
        <v>-127.84099999999999</v>
      </c>
      <c r="JA24">
        <v>-99.433999999999997</v>
      </c>
      <c r="JB24">
        <v>-41.673000000000002</v>
      </c>
      <c r="JC24">
        <v>31.161999999999999</v>
      </c>
      <c r="JD24">
        <v>94.26</v>
      </c>
      <c r="JE24">
        <v>127.91500000000001</v>
      </c>
      <c r="JF24">
        <v>132.16499999999999</v>
      </c>
      <c r="JG24" t="s">
        <v>77</v>
      </c>
    </row>
    <row r="25" spans="1:267" x14ac:dyDescent="0.4">
      <c r="A25">
        <v>24</v>
      </c>
      <c r="B25">
        <v>51</v>
      </c>
      <c r="C25">
        <v>1</v>
      </c>
      <c r="D25">
        <v>512</v>
      </c>
      <c r="E25">
        <v>0</v>
      </c>
      <c r="F25">
        <v>1691417976</v>
      </c>
      <c r="G25">
        <v>1</v>
      </c>
      <c r="H25" t="s">
        <v>27</v>
      </c>
      <c r="K25" t="s">
        <v>78</v>
      </c>
      <c r="M25">
        <v>16000</v>
      </c>
      <c r="N25">
        <v>20</v>
      </c>
      <c r="O25">
        <v>70</v>
      </c>
      <c r="P25">
        <v>90</v>
      </c>
      <c r="Q25">
        <v>5</v>
      </c>
      <c r="R25">
        <v>2</v>
      </c>
      <c r="S25">
        <v>40.96</v>
      </c>
      <c r="T25">
        <v>244</v>
      </c>
      <c r="U25">
        <v>0</v>
      </c>
      <c r="W25">
        <v>-94.138000000000005</v>
      </c>
      <c r="X25">
        <v>-119.626</v>
      </c>
      <c r="Y25">
        <v>-132.20599999999999</v>
      </c>
      <c r="Z25">
        <v>-128.72300000000001</v>
      </c>
      <c r="AA25">
        <v>-111.54300000000001</v>
      </c>
      <c r="AB25">
        <v>-87.251999999999995</v>
      </c>
      <c r="AC25">
        <v>-63.561999999999998</v>
      </c>
      <c r="AD25">
        <v>-46.165999999999997</v>
      </c>
      <c r="AE25">
        <v>-37.045999999999999</v>
      </c>
      <c r="AF25">
        <v>-34.643000000000001</v>
      </c>
      <c r="AG25">
        <v>-35.238999999999997</v>
      </c>
      <c r="AH25">
        <v>-34.618000000000002</v>
      </c>
      <c r="AI25">
        <v>-29.486000000000001</v>
      </c>
      <c r="AJ25">
        <v>-18.585000000000001</v>
      </c>
      <c r="AK25">
        <v>-3.266</v>
      </c>
      <c r="AL25">
        <v>12.95</v>
      </c>
      <c r="AM25">
        <v>26.055</v>
      </c>
      <c r="AN25">
        <v>33.671999999999997</v>
      </c>
      <c r="AO25">
        <v>36.206000000000003</v>
      </c>
      <c r="AP25">
        <v>36.133000000000003</v>
      </c>
      <c r="AQ25">
        <v>36.048000000000002</v>
      </c>
      <c r="AR25">
        <v>37.042999999999999</v>
      </c>
      <c r="AS25">
        <v>38.465000000000003</v>
      </c>
      <c r="AT25">
        <v>38.831000000000003</v>
      </c>
      <c r="AU25">
        <v>36.874000000000002</v>
      </c>
      <c r="AV25">
        <v>32.08</v>
      </c>
      <c r="AW25">
        <v>24.835999999999999</v>
      </c>
      <c r="AX25">
        <v>16.538</v>
      </c>
      <c r="AY25">
        <v>9.5109999999999992</v>
      </c>
      <c r="AZ25">
        <v>6.3230000000000004</v>
      </c>
      <c r="BA25">
        <v>8.4689999999999994</v>
      </c>
      <c r="BB25">
        <v>15.244</v>
      </c>
      <c r="BC25">
        <v>23.757000000000001</v>
      </c>
      <c r="BD25">
        <v>30.222000000000001</v>
      </c>
      <c r="BE25">
        <v>31.64</v>
      </c>
      <c r="BF25">
        <v>26.841000000000001</v>
      </c>
      <c r="BG25">
        <v>16.513000000000002</v>
      </c>
      <c r="BH25">
        <v>2.6019999999999999</v>
      </c>
      <c r="BI25">
        <v>-12.291</v>
      </c>
      <c r="BJ25">
        <v>-25.283000000000001</v>
      </c>
      <c r="BK25">
        <v>-33.491</v>
      </c>
      <c r="BL25">
        <v>-34.533999999999999</v>
      </c>
      <c r="BM25">
        <v>-27.303000000000001</v>
      </c>
      <c r="BN25">
        <v>-12.7</v>
      </c>
      <c r="BO25">
        <v>6.1769999999999996</v>
      </c>
      <c r="BP25">
        <v>24.762</v>
      </c>
      <c r="BQ25">
        <v>38.552</v>
      </c>
      <c r="BR25">
        <v>44.752000000000002</v>
      </c>
      <c r="BS25">
        <v>43.174999999999997</v>
      </c>
      <c r="BT25">
        <v>35.99</v>
      </c>
      <c r="BU25">
        <v>26.622</v>
      </c>
      <c r="BV25">
        <v>18.506</v>
      </c>
      <c r="BW25">
        <v>14.135</v>
      </c>
      <c r="BX25">
        <v>14.41</v>
      </c>
      <c r="BY25">
        <v>18.326000000000001</v>
      </c>
      <c r="BZ25">
        <v>23.288</v>
      </c>
      <c r="CA25">
        <v>26.292000000000002</v>
      </c>
      <c r="CB25">
        <v>25.596</v>
      </c>
      <c r="CC25">
        <v>21.847999999999999</v>
      </c>
      <c r="CD25">
        <v>17.657</v>
      </c>
      <c r="CE25">
        <v>15.598000000000001</v>
      </c>
      <c r="CF25">
        <v>15.964</v>
      </c>
      <c r="CG25">
        <v>16.07</v>
      </c>
      <c r="CH25">
        <v>11.923999999999999</v>
      </c>
      <c r="CI25">
        <v>1.234</v>
      </c>
      <c r="CJ25">
        <v>-14.506</v>
      </c>
      <c r="CK25">
        <v>-30.481999999999999</v>
      </c>
      <c r="CL25">
        <v>-41.284999999999997</v>
      </c>
      <c r="CM25">
        <v>-43.956000000000003</v>
      </c>
      <c r="CN25">
        <v>-39.405999999999999</v>
      </c>
      <c r="CO25">
        <v>-31.565999999999999</v>
      </c>
      <c r="CP25">
        <v>-25.064</v>
      </c>
      <c r="CQ25">
        <v>-22.905999999999999</v>
      </c>
      <c r="CR25">
        <v>-25.332000000000001</v>
      </c>
      <c r="CS25">
        <v>-30.210999999999999</v>
      </c>
      <c r="CT25">
        <v>-34.390999999999998</v>
      </c>
      <c r="CU25">
        <v>-35</v>
      </c>
      <c r="CV25">
        <v>-30.111999999999998</v>
      </c>
      <c r="CW25">
        <v>-18.97</v>
      </c>
      <c r="CX25">
        <v>-2.254</v>
      </c>
      <c r="CY25">
        <v>17.600999999999999</v>
      </c>
      <c r="CZ25">
        <v>36.664999999999999</v>
      </c>
      <c r="DA25">
        <v>50.807000000000002</v>
      </c>
      <c r="DB25">
        <v>57.517000000000003</v>
      </c>
      <c r="DC25">
        <v>57.045999999999999</v>
      </c>
      <c r="DD25">
        <v>51.9</v>
      </c>
      <c r="DE25">
        <v>44.972999999999999</v>
      </c>
      <c r="DF25">
        <v>37.637999999999998</v>
      </c>
      <c r="DG25">
        <v>29.192</v>
      </c>
      <c r="DH25">
        <v>17.939</v>
      </c>
      <c r="DI25">
        <v>3.05</v>
      </c>
      <c r="DJ25">
        <v>-14.176</v>
      </c>
      <c r="DK25">
        <v>-30.460999999999999</v>
      </c>
      <c r="DL25">
        <v>-42.055999999999997</v>
      </c>
      <c r="DM25">
        <v>-46.662999999999997</v>
      </c>
      <c r="DN25">
        <v>-44.561</v>
      </c>
      <c r="DO25">
        <v>-38.218000000000004</v>
      </c>
      <c r="DP25">
        <v>-30.742000000000001</v>
      </c>
      <c r="DQ25">
        <v>-24.303999999999998</v>
      </c>
      <c r="DR25">
        <v>-19.527000000000001</v>
      </c>
      <c r="DS25">
        <v>-15.944000000000001</v>
      </c>
      <c r="DT25">
        <v>-12.882</v>
      </c>
      <c r="DU25">
        <v>-10.054</v>
      </c>
      <c r="DV25">
        <v>-7.5960000000000001</v>
      </c>
      <c r="DW25">
        <v>-5.7190000000000003</v>
      </c>
      <c r="DX25">
        <v>-4.3070000000000004</v>
      </c>
      <c r="DY25">
        <v>-2.7240000000000002</v>
      </c>
      <c r="DZ25">
        <v>-2.7E-2</v>
      </c>
      <c r="EA25">
        <v>4.3689999999999998</v>
      </c>
      <c r="EB25">
        <v>9.8409999999999993</v>
      </c>
      <c r="EC25">
        <v>14.21</v>
      </c>
      <c r="ED25">
        <v>14.497</v>
      </c>
      <c r="EE25">
        <v>8.6720000000000006</v>
      </c>
      <c r="EF25">
        <v>-2.6539999999999999</v>
      </c>
      <c r="EG25">
        <v>-15.831</v>
      </c>
      <c r="EH25">
        <v>-25.571999999999999</v>
      </c>
      <c r="EI25">
        <v>-27.465</v>
      </c>
      <c r="EJ25">
        <v>-20.149999999999999</v>
      </c>
      <c r="EK25">
        <v>-5.984</v>
      </c>
      <c r="EL25">
        <v>10.026999999999999</v>
      </c>
      <c r="EM25">
        <v>22.305</v>
      </c>
      <c r="EN25">
        <v>26.710999999999999</v>
      </c>
      <c r="EO25">
        <v>21.751999999999999</v>
      </c>
      <c r="EP25">
        <v>8.8460000000000001</v>
      </c>
      <c r="EQ25">
        <v>-8.1780000000000008</v>
      </c>
      <c r="ER25">
        <v>-24.158000000000001</v>
      </c>
      <c r="ES25">
        <v>-34.274999999999999</v>
      </c>
      <c r="ET25">
        <v>-36.023000000000003</v>
      </c>
      <c r="EU25">
        <v>-30.599</v>
      </c>
      <c r="EV25">
        <v>-22.638000000000002</v>
      </c>
      <c r="EW25">
        <v>-17.978000000000002</v>
      </c>
      <c r="EX25">
        <v>-20.484999999999999</v>
      </c>
      <c r="EY25">
        <v>-29.864999999999998</v>
      </c>
      <c r="EZ25">
        <v>-41.841000000000001</v>
      </c>
      <c r="FA25">
        <v>-50.56</v>
      </c>
      <c r="FB25">
        <v>-51.613999999999997</v>
      </c>
      <c r="FC25">
        <v>-43.854999999999997</v>
      </c>
      <c r="FD25">
        <v>-29.204999999999998</v>
      </c>
      <c r="FE25">
        <v>-11.092000000000001</v>
      </c>
      <c r="FF25">
        <v>7.234</v>
      </c>
      <c r="FG25">
        <v>23.6</v>
      </c>
      <c r="FH25">
        <v>36.966999999999999</v>
      </c>
      <c r="FI25">
        <v>47.066000000000003</v>
      </c>
      <c r="FJ25">
        <v>54.024000000000001</v>
      </c>
      <c r="FK25">
        <v>58.058999999999997</v>
      </c>
      <c r="FL25">
        <v>59.259</v>
      </c>
      <c r="FM25">
        <v>57.566000000000003</v>
      </c>
      <c r="FN25">
        <v>53.155999999999999</v>
      </c>
      <c r="FO25">
        <v>47.12</v>
      </c>
      <c r="FP25">
        <v>41.807000000000002</v>
      </c>
      <c r="FQ25">
        <v>40.131999999999998</v>
      </c>
      <c r="FR25">
        <v>43.796999999999997</v>
      </c>
      <c r="FS25">
        <v>51.51</v>
      </c>
      <c r="FT25">
        <v>58.71</v>
      </c>
      <c r="FU25">
        <v>59.567999999999998</v>
      </c>
      <c r="FV25">
        <v>50.343000000000004</v>
      </c>
      <c r="FW25">
        <v>31.989000000000001</v>
      </c>
      <c r="FX25">
        <v>10.129</v>
      </c>
      <c r="FY25">
        <v>-7.7949999999999999</v>
      </c>
      <c r="FZ25">
        <v>-16.46</v>
      </c>
      <c r="GA25">
        <v>-15.265000000000001</v>
      </c>
      <c r="GB25">
        <v>-8.1210000000000004</v>
      </c>
      <c r="GC25">
        <v>-0.86299999999999999</v>
      </c>
      <c r="GD25">
        <v>1.8520000000000001</v>
      </c>
      <c r="GE25">
        <v>-1.661</v>
      </c>
      <c r="GF25">
        <v>-10.201000000000001</v>
      </c>
      <c r="GG25">
        <v>-20.876000000000001</v>
      </c>
      <c r="GH25">
        <v>-30.401</v>
      </c>
      <c r="GI25">
        <v>-36.11</v>
      </c>
      <c r="GJ25">
        <v>-36.756</v>
      </c>
      <c r="GK25">
        <v>-33.063000000000002</v>
      </c>
      <c r="GL25">
        <v>-27.562999999999999</v>
      </c>
      <c r="GM25">
        <v>-23.466999999999999</v>
      </c>
      <c r="GN25">
        <v>-22.968</v>
      </c>
      <c r="GO25">
        <v>-25.99</v>
      </c>
      <c r="GP25">
        <v>-30.268000000000001</v>
      </c>
      <c r="GQ25">
        <v>-32.813000000000002</v>
      </c>
      <c r="GR25">
        <v>-31.838000000000001</v>
      </c>
      <c r="GS25">
        <v>-27.762</v>
      </c>
      <c r="GT25">
        <v>-22.54</v>
      </c>
      <c r="GU25">
        <v>-17.881</v>
      </c>
      <c r="GV25">
        <v>-13.894</v>
      </c>
      <c r="GW25">
        <v>-9.3179999999999996</v>
      </c>
      <c r="GX25">
        <v>-2.9820000000000002</v>
      </c>
      <c r="GY25">
        <v>4.8780000000000001</v>
      </c>
      <c r="GZ25">
        <v>12.598000000000001</v>
      </c>
      <c r="HA25">
        <v>18.317</v>
      </c>
      <c r="HB25">
        <v>21.449000000000002</v>
      </c>
      <c r="HC25">
        <v>23.204999999999998</v>
      </c>
      <c r="HD25">
        <v>25.701000000000001</v>
      </c>
      <c r="HE25">
        <v>30.210999999999999</v>
      </c>
      <c r="HF25">
        <v>35.892000000000003</v>
      </c>
      <c r="HG25">
        <v>40.076000000000001</v>
      </c>
      <c r="HH25">
        <v>40.021000000000001</v>
      </c>
      <c r="HI25">
        <v>34.74</v>
      </c>
      <c r="HJ25">
        <v>25.497</v>
      </c>
      <c r="HK25">
        <v>14.756</v>
      </c>
      <c r="HL25">
        <v>4.6520000000000001</v>
      </c>
      <c r="HM25">
        <v>-3.85</v>
      </c>
      <c r="HN25">
        <v>-10.834</v>
      </c>
      <c r="HO25">
        <v>-16.843</v>
      </c>
      <c r="HP25">
        <v>-22.332000000000001</v>
      </c>
      <c r="HQ25">
        <v>-27.314</v>
      </c>
      <c r="HR25">
        <v>-31.300999999999998</v>
      </c>
      <c r="HS25">
        <v>-33.664000000000001</v>
      </c>
      <c r="HT25">
        <v>-34.305</v>
      </c>
      <c r="HU25">
        <v>-34.04</v>
      </c>
      <c r="HV25">
        <v>-34.143999999999998</v>
      </c>
      <c r="HW25">
        <v>-35.293999999999997</v>
      </c>
      <c r="HX25">
        <v>-36.911000000000001</v>
      </c>
      <c r="HY25">
        <v>-37.595999999999997</v>
      </c>
      <c r="HZ25">
        <v>-36.284999999999997</v>
      </c>
      <c r="IA25">
        <v>-33.015000000000001</v>
      </c>
      <c r="IB25">
        <v>-28.617999999999999</v>
      </c>
      <c r="IC25">
        <v>-23.773</v>
      </c>
      <c r="ID25">
        <v>-18.347999999999999</v>
      </c>
      <c r="IE25">
        <v>-11.568</v>
      </c>
      <c r="IF25">
        <v>-2.8029999999999999</v>
      </c>
      <c r="IG25">
        <v>7.6059999999999999</v>
      </c>
      <c r="IH25">
        <v>18.068000000000001</v>
      </c>
      <c r="II25">
        <v>26.376000000000001</v>
      </c>
      <c r="IJ25">
        <v>31.13</v>
      </c>
      <c r="IK25">
        <v>33.017000000000003</v>
      </c>
      <c r="IL25">
        <v>34.749000000000002</v>
      </c>
      <c r="IM25">
        <v>39.256999999999998</v>
      </c>
      <c r="IN25">
        <v>47.323</v>
      </c>
      <c r="IO25">
        <v>56.488</v>
      </c>
      <c r="IP25">
        <v>62.255000000000003</v>
      </c>
      <c r="IQ25">
        <v>60.856999999999999</v>
      </c>
      <c r="IR25">
        <v>51.689</v>
      </c>
      <c r="IS25">
        <v>37.698999999999998</v>
      </c>
      <c r="IT25">
        <v>23.422000000000001</v>
      </c>
      <c r="IU25">
        <v>12.016</v>
      </c>
      <c r="IV25">
        <v>3.4089999999999998</v>
      </c>
      <c r="IW25">
        <v>-5.117</v>
      </c>
      <c r="IX25">
        <v>-16.291</v>
      </c>
      <c r="IY25">
        <v>-30.099</v>
      </c>
      <c r="IZ25">
        <v>-42.957999999999998</v>
      </c>
      <c r="JA25">
        <v>-49.59</v>
      </c>
      <c r="JB25">
        <v>-46.421999999999997</v>
      </c>
      <c r="JC25">
        <v>-34.094999999999999</v>
      </c>
      <c r="JD25">
        <v>-17.024999999999999</v>
      </c>
      <c r="JE25">
        <v>2.7E-2</v>
      </c>
      <c r="JF25">
        <v>15.327</v>
      </c>
      <c r="JG25" t="s">
        <v>77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ABRs</vt:lpstr>
      <vt:lpstr>Noise Exposure Schedule</vt:lpstr>
      <vt:lpstr>ABR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PSY - CBA User</dc:creator>
  <cp:keywords/>
  <dc:description/>
  <cp:lastModifiedBy>Cade Leinbach</cp:lastModifiedBy>
  <cp:revision/>
  <dcterms:created xsi:type="dcterms:W3CDTF">2023-02-04T17:03:46Z</dcterms:created>
  <dcterms:modified xsi:type="dcterms:W3CDTF">2026-04-28T01:14:44Z</dcterms:modified>
  <cp:category/>
  <cp:contentStatus/>
</cp:coreProperties>
</file>